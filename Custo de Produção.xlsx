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grocolheita\OneDrive\Área de Trabalho\"/>
    </mc:Choice>
  </mc:AlternateContent>
  <xr:revisionPtr revIDLastSave="0" documentId="8_{F4083446-1E38-425B-BF58-4F4602D7EEC7}" xr6:coauthVersionLast="47" xr6:coauthVersionMax="47" xr10:uidLastSave="{00000000-0000-0000-0000-000000000000}"/>
  <bookViews>
    <workbookView xWindow="-108" yWindow="-108" windowWidth="23256" windowHeight="12456" tabRatio="912" activeTab="1" xr2:uid="{00000000-000D-0000-FFFF-FFFF00000000}"/>
  </bookViews>
  <sheets>
    <sheet name="Indice" sheetId="53" r:id="rId1"/>
    <sheet name="Soja_GMO_MT" sheetId="18" r:id="rId2"/>
    <sheet name="Soja_Safra_GMO_bra" sheetId="31" r:id="rId3"/>
    <sheet name="Soja_Safra_GMO_port" sheetId="37" r:id="rId4"/>
    <sheet name="Soja_Safra_GMO_tan" sheetId="39" r:id="rId5"/>
    <sheet name="Soja_Safra_GMO_dia" sheetId="38" r:id="rId6"/>
    <sheet name="Soja_Safra_GMO_sor" sheetId="41" r:id="rId7"/>
    <sheet name="Soja_Safra_GMO_sin" sheetId="40" r:id="rId8"/>
    <sheet name="Soja_Safra_GMO_can" sheetId="43" r:id="rId9"/>
    <sheet name="Soja_Safra_GMO_que" sheetId="45" r:id="rId10"/>
    <sheet name="Soja_Safra_GMO_pri" sheetId="51" r:id="rId11"/>
    <sheet name="Soja_Safra_GMO_afl" sheetId="54" r:id="rId12"/>
    <sheet name="Soja_Safra_GMO_mar" sheetId="47" r:id="rId13"/>
    <sheet name="Soja_Safra_GMO_mat" sheetId="46" r:id="rId14"/>
    <sheet name="Soja_Safra_GMO_sap" sheetId="49" r:id="rId15"/>
    <sheet name="Soja_Safra_GMO_cnp" sheetId="4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6" i="18" l="1"/>
  <c r="I75" i="18"/>
  <c r="I23" i="31"/>
  <c r="I23" i="37"/>
  <c r="I23" i="39"/>
  <c r="I23" i="38"/>
  <c r="I23" i="41"/>
  <c r="I23" i="40"/>
  <c r="I23" i="43"/>
  <c r="I23" i="45"/>
  <c r="I23" i="51"/>
  <c r="I23" i="54"/>
  <c r="I23" i="47"/>
  <c r="I23" i="49"/>
  <c r="I23" i="48"/>
  <c r="I23" i="18"/>
  <c r="I15" i="31"/>
  <c r="I16" i="31"/>
  <c r="I17" i="31"/>
  <c r="I18" i="31"/>
  <c r="I19" i="31"/>
  <c r="I20" i="31"/>
  <c r="I21" i="31"/>
  <c r="I22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5" i="31"/>
  <c r="I76" i="31"/>
  <c r="I15" i="37"/>
  <c r="I16" i="37"/>
  <c r="I17" i="37"/>
  <c r="I18" i="37"/>
  <c r="I19" i="37"/>
  <c r="I20" i="37"/>
  <c r="I21" i="37"/>
  <c r="I22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53" i="37"/>
  <c r="I54" i="37"/>
  <c r="I55" i="37"/>
  <c r="I56" i="37"/>
  <c r="I57" i="37"/>
  <c r="I58" i="37"/>
  <c r="I59" i="37"/>
  <c r="I60" i="37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75" i="37"/>
  <c r="I76" i="37"/>
  <c r="I15" i="39"/>
  <c r="I16" i="39"/>
  <c r="I17" i="39"/>
  <c r="I18" i="39"/>
  <c r="I19" i="39"/>
  <c r="I20" i="39"/>
  <c r="I21" i="39"/>
  <c r="I22" i="39"/>
  <c r="I24" i="39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  <c r="I38" i="39"/>
  <c r="I39" i="39"/>
  <c r="I40" i="39"/>
  <c r="I41" i="39"/>
  <c r="I42" i="39"/>
  <c r="I43" i="39"/>
  <c r="I44" i="39"/>
  <c r="I45" i="39"/>
  <c r="I46" i="39"/>
  <c r="I47" i="39"/>
  <c r="I48" i="39"/>
  <c r="I49" i="39"/>
  <c r="I50" i="39"/>
  <c r="I51" i="39"/>
  <c r="I52" i="39"/>
  <c r="I53" i="39"/>
  <c r="I54" i="39"/>
  <c r="I55" i="39"/>
  <c r="I56" i="39"/>
  <c r="I57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75" i="39"/>
  <c r="I76" i="39"/>
  <c r="I15" i="38"/>
  <c r="I16" i="38"/>
  <c r="I17" i="38"/>
  <c r="I18" i="38"/>
  <c r="I19" i="38"/>
  <c r="I20" i="38"/>
  <c r="I21" i="38"/>
  <c r="I22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5" i="38"/>
  <c r="I76" i="38"/>
  <c r="I15" i="41"/>
  <c r="I16" i="41"/>
  <c r="I17" i="41"/>
  <c r="I18" i="41"/>
  <c r="I19" i="41"/>
  <c r="I20" i="41"/>
  <c r="I21" i="41"/>
  <c r="I22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5" i="41"/>
  <c r="I76" i="41"/>
  <c r="I15" i="40"/>
  <c r="I16" i="40"/>
  <c r="I17" i="40"/>
  <c r="I18" i="40"/>
  <c r="I19" i="40"/>
  <c r="I20" i="40"/>
  <c r="I21" i="40"/>
  <c r="I22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5" i="40"/>
  <c r="I76" i="40"/>
  <c r="I15" i="43"/>
  <c r="I16" i="43"/>
  <c r="I17" i="43"/>
  <c r="I18" i="43"/>
  <c r="I19" i="43"/>
  <c r="I20" i="43"/>
  <c r="I21" i="43"/>
  <c r="I22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5" i="43"/>
  <c r="I76" i="43"/>
  <c r="I15" i="45"/>
  <c r="I16" i="45"/>
  <c r="I17" i="45"/>
  <c r="I18" i="45"/>
  <c r="I19" i="45"/>
  <c r="I20" i="45"/>
  <c r="I21" i="45"/>
  <c r="I22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5" i="45"/>
  <c r="I76" i="45"/>
  <c r="I15" i="51"/>
  <c r="I16" i="51"/>
  <c r="I17" i="51"/>
  <c r="I18" i="51"/>
  <c r="I19" i="51"/>
  <c r="I20" i="51"/>
  <c r="I21" i="51"/>
  <c r="I22" i="51"/>
  <c r="I24" i="51"/>
  <c r="I25" i="51"/>
  <c r="I26" i="51"/>
  <c r="I27" i="51"/>
  <c r="I28" i="51"/>
  <c r="I29" i="51"/>
  <c r="I30" i="51"/>
  <c r="I31" i="51"/>
  <c r="I32" i="51"/>
  <c r="I33" i="51"/>
  <c r="I34" i="51"/>
  <c r="I35" i="51"/>
  <c r="I36" i="51"/>
  <c r="I37" i="51"/>
  <c r="I38" i="51"/>
  <c r="I39" i="51"/>
  <c r="I40" i="51"/>
  <c r="I41" i="51"/>
  <c r="I42" i="51"/>
  <c r="I43" i="51"/>
  <c r="I44" i="51"/>
  <c r="I45" i="51"/>
  <c r="I46" i="51"/>
  <c r="I47" i="51"/>
  <c r="I48" i="51"/>
  <c r="I49" i="51"/>
  <c r="I50" i="51"/>
  <c r="I51" i="51"/>
  <c r="I52" i="51"/>
  <c r="I53" i="51"/>
  <c r="I54" i="51"/>
  <c r="I55" i="51"/>
  <c r="I56" i="51"/>
  <c r="I57" i="51"/>
  <c r="I58" i="51"/>
  <c r="I59" i="51"/>
  <c r="I60" i="51"/>
  <c r="I61" i="51"/>
  <c r="I62" i="51"/>
  <c r="I63" i="51"/>
  <c r="I64" i="51"/>
  <c r="I65" i="51"/>
  <c r="I66" i="51"/>
  <c r="I67" i="51"/>
  <c r="I68" i="51"/>
  <c r="I69" i="51"/>
  <c r="I70" i="51"/>
  <c r="I71" i="51"/>
  <c r="I72" i="51"/>
  <c r="I73" i="51"/>
  <c r="I75" i="51"/>
  <c r="I76" i="51"/>
  <c r="I15" i="54"/>
  <c r="I16" i="54"/>
  <c r="I17" i="54"/>
  <c r="I18" i="54"/>
  <c r="I19" i="54"/>
  <c r="I20" i="54"/>
  <c r="I21" i="54"/>
  <c r="I22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75" i="54"/>
  <c r="I76" i="54"/>
  <c r="I15" i="47"/>
  <c r="I16" i="47"/>
  <c r="I17" i="47"/>
  <c r="I18" i="47"/>
  <c r="I19" i="47"/>
  <c r="I20" i="47"/>
  <c r="I21" i="47"/>
  <c r="I22" i="47"/>
  <c r="I24" i="47"/>
  <c r="I25" i="47"/>
  <c r="I26" i="47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8" i="47"/>
  <c r="I49" i="47"/>
  <c r="I50" i="47"/>
  <c r="I51" i="47"/>
  <c r="I52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0" i="47"/>
  <c r="I71" i="47"/>
  <c r="I72" i="47"/>
  <c r="I73" i="47"/>
  <c r="I75" i="47"/>
  <c r="I76" i="47"/>
  <c r="I75" i="46"/>
  <c r="I76" i="46"/>
  <c r="I15" i="49"/>
  <c r="I16" i="49"/>
  <c r="I17" i="49"/>
  <c r="I18" i="49"/>
  <c r="I19" i="49"/>
  <c r="I20" i="49"/>
  <c r="I21" i="49"/>
  <c r="I22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71" i="49"/>
  <c r="I72" i="49"/>
  <c r="I73" i="49"/>
  <c r="I75" i="49"/>
  <c r="I76" i="49"/>
  <c r="I15" i="48"/>
  <c r="I16" i="48"/>
  <c r="I17" i="48"/>
  <c r="I18" i="48"/>
  <c r="I19" i="48"/>
  <c r="I20" i="48"/>
  <c r="I21" i="48"/>
  <c r="I22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5" i="48"/>
  <c r="I46" i="48"/>
  <c r="I47" i="48"/>
  <c r="I48" i="48"/>
  <c r="I49" i="48"/>
  <c r="I50" i="48"/>
  <c r="I51" i="48"/>
  <c r="I52" i="48"/>
  <c r="I53" i="48"/>
  <c r="I54" i="48"/>
  <c r="I55" i="48"/>
  <c r="I56" i="48"/>
  <c r="I57" i="48"/>
  <c r="I58" i="48"/>
  <c r="I59" i="48"/>
  <c r="I60" i="48"/>
  <c r="I61" i="48"/>
  <c r="I62" i="48"/>
  <c r="I63" i="48"/>
  <c r="I64" i="48"/>
  <c r="I65" i="48"/>
  <c r="I66" i="48"/>
  <c r="I67" i="48"/>
  <c r="I68" i="48"/>
  <c r="I69" i="48"/>
  <c r="I70" i="48"/>
  <c r="I71" i="48"/>
  <c r="I72" i="48"/>
  <c r="I73" i="48"/>
  <c r="I75" i="48"/>
  <c r="I76" i="48"/>
  <c r="I15" i="18"/>
  <c r="I16" i="18"/>
  <c r="I17" i="18"/>
  <c r="I18" i="18"/>
  <c r="I19" i="18"/>
  <c r="I20" i="18"/>
  <c r="I21" i="18"/>
  <c r="I22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14" i="31" l="1"/>
  <c r="I13" i="31"/>
  <c r="I12" i="31"/>
  <c r="I11" i="31"/>
  <c r="I10" i="31"/>
  <c r="I14" i="37"/>
  <c r="I13" i="37"/>
  <c r="I12" i="37"/>
  <c r="I11" i="37"/>
  <c r="I10" i="37"/>
  <c r="I14" i="39"/>
  <c r="I13" i="39"/>
  <c r="I12" i="39"/>
  <c r="I11" i="39"/>
  <c r="I10" i="39"/>
  <c r="I14" i="38"/>
  <c r="I13" i="38"/>
  <c r="I12" i="38"/>
  <c r="I11" i="38"/>
  <c r="I10" i="38"/>
  <c r="I14" i="41"/>
  <c r="I13" i="41"/>
  <c r="I12" i="41"/>
  <c r="I11" i="41"/>
  <c r="I10" i="41"/>
  <c r="I14" i="40"/>
  <c r="I13" i="40"/>
  <c r="I12" i="40"/>
  <c r="I11" i="40"/>
  <c r="I10" i="40"/>
  <c r="I14" i="43"/>
  <c r="I13" i="43"/>
  <c r="I12" i="43"/>
  <c r="I11" i="43"/>
  <c r="I10" i="43"/>
  <c r="I14" i="45"/>
  <c r="I13" i="45"/>
  <c r="I12" i="45"/>
  <c r="I11" i="45"/>
  <c r="I10" i="45"/>
  <c r="I14" i="51"/>
  <c r="I13" i="51"/>
  <c r="I12" i="51"/>
  <c r="I11" i="51"/>
  <c r="I10" i="51"/>
  <c r="I14" i="54"/>
  <c r="I13" i="54"/>
  <c r="I12" i="54"/>
  <c r="I11" i="54"/>
  <c r="I10" i="54"/>
  <c r="I14" i="47"/>
  <c r="I13" i="47"/>
  <c r="I12" i="47"/>
  <c r="I11" i="47"/>
  <c r="I10" i="47"/>
  <c r="I14" i="49"/>
  <c r="I13" i="49"/>
  <c r="I12" i="49"/>
  <c r="I11" i="49"/>
  <c r="I10" i="49"/>
  <c r="I14" i="48"/>
  <c r="I13" i="48"/>
  <c r="I12" i="48"/>
  <c r="I11" i="48"/>
  <c r="I10" i="48"/>
  <c r="I14" i="18"/>
  <c r="I13" i="18"/>
  <c r="I12" i="18"/>
  <c r="I11" i="18"/>
  <c r="I10" i="18"/>
  <c r="I9" i="31"/>
  <c r="I9" i="37"/>
  <c r="I9" i="39"/>
  <c r="I9" i="38"/>
  <c r="I9" i="41"/>
  <c r="I9" i="40"/>
  <c r="I9" i="43"/>
  <c r="I9" i="45"/>
  <c r="I9" i="51"/>
  <c r="I9" i="54"/>
  <c r="I9" i="47"/>
  <c r="I9" i="49"/>
  <c r="I9" i="48"/>
  <c r="I9" i="18"/>
  <c r="I22" i="46" l="1"/>
  <c r="I56" i="46" l="1"/>
  <c r="I69" i="46"/>
  <c r="I52" i="46"/>
  <c r="I33" i="46"/>
  <c r="I28" i="46"/>
  <c r="I31" i="46"/>
  <c r="I15" i="46"/>
  <c r="I60" i="46"/>
  <c r="I26" i="46"/>
  <c r="I71" i="46"/>
  <c r="I25" i="46"/>
  <c r="I58" i="46"/>
  <c r="I63" i="46"/>
  <c r="I61" i="46"/>
  <c r="I50" i="46"/>
  <c r="I13" i="46"/>
  <c r="I46" i="46"/>
  <c r="I14" i="46"/>
  <c r="I30" i="46"/>
  <c r="I68" i="46"/>
  <c r="I27" i="46"/>
  <c r="I73" i="46"/>
  <c r="I64" i="46"/>
  <c r="I59" i="46"/>
  <c r="I49" i="46"/>
  <c r="I34" i="46"/>
  <c r="I55" i="46"/>
  <c r="I16" i="46"/>
  <c r="I36" i="46"/>
  <c r="I29" i="46"/>
  <c r="I53" i="46"/>
  <c r="I42" i="46"/>
  <c r="I12" i="46"/>
  <c r="I32" i="46"/>
  <c r="I67" i="46"/>
  <c r="I35" i="46"/>
  <c r="I72" i="46"/>
  <c r="I43" i="46"/>
  <c r="I18" i="46"/>
  <c r="I37" i="46"/>
  <c r="I24" i="46"/>
  <c r="I51" i="46"/>
  <c r="I57" i="46"/>
  <c r="I54" i="46"/>
  <c r="I47" i="46"/>
  <c r="I19" i="46"/>
  <c r="I40" i="46"/>
  <c r="I41" i="46"/>
  <c r="I39" i="46"/>
  <c r="I11" i="46"/>
  <c r="I10" i="46"/>
  <c r="I44" i="46"/>
  <c r="I62" i="46"/>
  <c r="I38" i="46"/>
  <c r="I17" i="46"/>
  <c r="I45" i="46"/>
  <c r="I9" i="46"/>
  <c r="I66" i="46"/>
  <c r="I23" i="46"/>
  <c r="I21" i="46"/>
  <c r="I20" i="46"/>
  <c r="I65" i="46"/>
  <c r="I48" i="46"/>
  <c r="I70" i="46"/>
</calcChain>
</file>

<file path=xl/sharedStrings.xml><?xml version="1.0" encoding="utf-8"?>
<sst xmlns="http://schemas.openxmlformats.org/spreadsheetml/2006/main" count="1499" uniqueCount="148">
  <si>
    <t>Ano</t>
  </si>
  <si>
    <t>Mês</t>
  </si>
  <si>
    <t>Safra</t>
  </si>
  <si>
    <t>1. SEMENTES</t>
  </si>
  <si>
    <t>Semente de Soja</t>
  </si>
  <si>
    <t>Semente de Cobertura</t>
  </si>
  <si>
    <t>2. FERTILIZANTES E CORRETIVOS</t>
  </si>
  <si>
    <t>Corretivo de Solo</t>
  </si>
  <si>
    <t>Macronutriente</t>
  </si>
  <si>
    <t>Micronutriente</t>
  </si>
  <si>
    <t>3. DEFENSIVOS</t>
  </si>
  <si>
    <t>Fungicida</t>
  </si>
  <si>
    <t>Herbicida</t>
  </si>
  <si>
    <t>Inseticida</t>
  </si>
  <si>
    <t>Adjuvante/Outros</t>
  </si>
  <si>
    <t>Manejo Pré Plantio</t>
  </si>
  <si>
    <t>Adubação e Plantio</t>
  </si>
  <si>
    <t>Aplicações com Máquinas</t>
  </si>
  <si>
    <t>Colheita</t>
  </si>
  <si>
    <t>Manejo Pós Colheita</t>
  </si>
  <si>
    <t>Serviços Terceirizados</t>
  </si>
  <si>
    <t>Permanente</t>
  </si>
  <si>
    <t>Temporária</t>
  </si>
  <si>
    <t>B. MANUTENÇÃO</t>
  </si>
  <si>
    <t>Manutenção Máq. Equip. Utilit.</t>
  </si>
  <si>
    <t>Manutenção Benfeitorias</t>
  </si>
  <si>
    <t>C. IMPOSTOS E TAXAS</t>
  </si>
  <si>
    <t>Funrural</t>
  </si>
  <si>
    <t>Fethab I</t>
  </si>
  <si>
    <t>Fethab II</t>
  </si>
  <si>
    <t>ITR</t>
  </si>
  <si>
    <t>Facs</t>
  </si>
  <si>
    <t>Outros Impostos e Taxas</t>
  </si>
  <si>
    <t>D. FINANCEIRAS</t>
  </si>
  <si>
    <t>Financiamentos</t>
  </si>
  <si>
    <t>Seguro da Produção</t>
  </si>
  <si>
    <t>Seguro Máq. Equip. Utilit.</t>
  </si>
  <si>
    <t>E. PÓS-PRODUÇÃO</t>
  </si>
  <si>
    <t>Armazenagem</t>
  </si>
  <si>
    <t>Transporte da Produção</t>
  </si>
  <si>
    <t>F. OUTROS CUSTOS</t>
  </si>
  <si>
    <t>Assistência Técnica</t>
  </si>
  <si>
    <t>Combustível Utilitários</t>
  </si>
  <si>
    <t>Despesas Gerais</t>
  </si>
  <si>
    <t>G. ARRENDAMENTO</t>
  </si>
  <si>
    <t>Arrendamento</t>
  </si>
  <si>
    <t>COE (A + B + ... + F + G)</t>
  </si>
  <si>
    <t>H. DEPRECIAÇÕES</t>
  </si>
  <si>
    <t>Depreciação Máquinas</t>
  </si>
  <si>
    <t>Depreciação Implementos</t>
  </si>
  <si>
    <t>Depreciação Equipamentos</t>
  </si>
  <si>
    <t>Depreciação Utilitários</t>
  </si>
  <si>
    <t>Depreciação Benfeitorias</t>
  </si>
  <si>
    <t>I. MÃO-DE-OBRA FAMILIAR</t>
  </si>
  <si>
    <t>Pró-Labore</t>
  </si>
  <si>
    <t>COT (COE + H + I)</t>
  </si>
  <si>
    <t>Custo de Oportunidade da Terra</t>
  </si>
  <si>
    <t>Capital Circulante</t>
  </si>
  <si>
    <t>Máquinas, Implem., Equip. e Utilit.</t>
  </si>
  <si>
    <t>Benfeitorias</t>
  </si>
  <si>
    <t>CT (COT + J)</t>
  </si>
  <si>
    <t>Aplicações com Avião</t>
  </si>
  <si>
    <t>Classificação e Beneficiamento</t>
  </si>
  <si>
    <t>J. CUSTO DE OPORTUNIDADE</t>
  </si>
  <si>
    <t>Consolidado</t>
  </si>
  <si>
    <t>Var. Mensal</t>
  </si>
  <si>
    <t>Fonte: Imea.</t>
  </si>
  <si>
    <t>Dólar compra (R$/US$)</t>
  </si>
  <si>
    <t>Produtividade Modal (Sc/ha)**</t>
  </si>
  <si>
    <t>SOJA GMO</t>
  </si>
  <si>
    <t>MATO GROSSO</t>
  </si>
  <si>
    <t>Unidade: R$/ha.</t>
  </si>
  <si>
    <t>2021/22</t>
  </si>
  <si>
    <t>2022/23</t>
  </si>
  <si>
    <t>2023/24</t>
  </si>
  <si>
    <t>Item</t>
  </si>
  <si>
    <t>Dados</t>
  </si>
  <si>
    <t>Local</t>
  </si>
  <si>
    <t>Unidade</t>
  </si>
  <si>
    <t>Soja_Safra_GMO_MT</t>
  </si>
  <si>
    <t>MT</t>
  </si>
  <si>
    <t>R$/ha</t>
  </si>
  <si>
    <t>Soja_Safra_GMO_dia</t>
  </si>
  <si>
    <t>Diamantino</t>
  </si>
  <si>
    <t>Soja_Safra_GMO_tan</t>
  </si>
  <si>
    <t>Tangará da Serra</t>
  </si>
  <si>
    <t>Soja_Safra_GMO_sin</t>
  </si>
  <si>
    <t>Sinop</t>
  </si>
  <si>
    <t>Soja_Safra_GMO_sor</t>
  </si>
  <si>
    <t>Sorriso</t>
  </si>
  <si>
    <t>Soja_Safra_GMO_can</t>
  </si>
  <si>
    <t>Canarana</t>
  </si>
  <si>
    <t>Soja_Safra_GMO_que</t>
  </si>
  <si>
    <t>Querência</t>
  </si>
  <si>
    <t>Soja_Safra_GMO_mat</t>
  </si>
  <si>
    <t>Matupá</t>
  </si>
  <si>
    <t>Soja_Safra_GMO_cnp</t>
  </si>
  <si>
    <t>Campo Novo do Parecis</t>
  </si>
  <si>
    <t>Soja_Safra_GMO_sap</t>
  </si>
  <si>
    <t>Sapezal</t>
  </si>
  <si>
    <t>Soja_Safra_GMO_pri</t>
  </si>
  <si>
    <t>Primavera do Leste</t>
  </si>
  <si>
    <t>Nova Mutum</t>
  </si>
  <si>
    <t>Marcelândia</t>
  </si>
  <si>
    <t>Paranatinga</t>
  </si>
  <si>
    <t>Brasnorte</t>
  </si>
  <si>
    <t>Porto dos Gauchos</t>
  </si>
  <si>
    <t xml:space="preserve">Custo de produção da Safra de Soja </t>
  </si>
  <si>
    <t>Soja_Safra_GMO_bra</t>
  </si>
  <si>
    <t>Soja_Safra_GMO_port</t>
  </si>
  <si>
    <t>Soja_Safra_GMO_nom</t>
  </si>
  <si>
    <t>Soja_Safra_GMO_mar</t>
  </si>
  <si>
    <t>Soja_Safra_GMO_par</t>
  </si>
  <si>
    <t>BRASNORTE</t>
  </si>
  <si>
    <t>PORTO DOS GAUCHOS</t>
  </si>
  <si>
    <t>DIAMANTINO</t>
  </si>
  <si>
    <t>TANGARÁ DA SERRA</t>
  </si>
  <si>
    <t>SINOP</t>
  </si>
  <si>
    <t>SORRISO</t>
  </si>
  <si>
    <t>CANARANA</t>
  </si>
  <si>
    <t>QUERÊNCIA</t>
  </si>
  <si>
    <t>MATUPÁ</t>
  </si>
  <si>
    <t>MARCELÂNDIA</t>
  </si>
  <si>
    <t>CAMPO NOVO DO PARECIS</t>
  </si>
  <si>
    <t>SAPEZAL</t>
  </si>
  <si>
    <t>PRIMAVERA DO LESTE</t>
  </si>
  <si>
    <t>CUSTO DE PRODUÇÃO DA AGRICULTURA - SOJA</t>
  </si>
  <si>
    <t>2022/23***</t>
  </si>
  <si>
    <t>A. CUSTEIO (1+2...+6)</t>
  </si>
  <si>
    <t>4. OPERAÇÕES MECANIZADAS (óleo diesel e lubrificantes)</t>
  </si>
  <si>
    <t>5. SERVIÇOS TERCEIRIZADOS</t>
  </si>
  <si>
    <t>6. MÃO DE OBRA</t>
  </si>
  <si>
    <t>2025/26</t>
  </si>
  <si>
    <t>ALTA FLORESTA</t>
  </si>
  <si>
    <t>***VIRADA DA SAFRA DE SOJA
Dado o início da safra 2025/26 de soja, o custeio da produção apresentou variações devido à modificação no pacote tecnológico aplicado a soja</t>
  </si>
  <si>
    <t>2024/25</t>
  </si>
  <si>
    <t>Alta Floresta</t>
  </si>
  <si>
    <t>Soja_Safra_GMO_afl</t>
  </si>
  <si>
    <t>**A produtividade modal faz referência ao valor levantado junto aos produtores no dia do painel modal, consequentemente, esta pode apresentar variações em relação a produtividade que consta no boletim da soja.</t>
  </si>
  <si>
    <t>Nota: O custo com arrendamento foi calculado com base na saca de soja e na participação da área da cultura.</t>
  </si>
  <si>
    <t>2026/27</t>
  </si>
  <si>
    <t>2023/24***</t>
  </si>
  <si>
    <t>CUSTO DE PRODUÇÃO PONDERADO</t>
  </si>
  <si>
    <t>*Estimativa</t>
  </si>
  <si>
    <t>Janeiro</t>
  </si>
  <si>
    <t>Fevereiro</t>
  </si>
  <si>
    <t>Jan-26/Fev-26</t>
  </si>
  <si>
    <t>Fevereiro*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</si>
</sst>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#,"/>
    <numFmt numFmtId="166" formatCode="_(&quot;R$ &quot;* #,##0.00_);_(&quot;R$ &quot;* \(#,##0.00\);_(&quot;R$ &quot;* &quot;-&quot;??_);_(@_)"/>
    <numFmt numFmtId="167" formatCode="#,##0.00\ ;&quot; (&quot;#,##0.00\);&quot; -&quot;#\ ;@\ "/>
    <numFmt numFmtId="168" formatCode="_-[$R$-416]* #,##0.00_-;\-[$R$-416]* #,##0.00_-;_-[$R$-416]* &quot;-&quot;??_-;_-@_-"/>
    <numFmt numFmtId="169" formatCode="[$-416]d\-mmm\-yy;@"/>
    <numFmt numFmtId="170" formatCode="_-[$$-409]* #,##0_ ;_-[$$-409]* \-#,##0\ ;_-[$$-409]* &quot;-&quot;??_ ;_-@_ "/>
    <numFmt numFmtId="171" formatCode="_-* #,##0.00_-;\-* #,##0.00_-;_-* \-??_-;_-@_-"/>
    <numFmt numFmtId="172" formatCode="_-* #,##0.0000_-;\-* #,##0.0000_-;_-* &quot;-&quot;??_-;_-@_-"/>
    <numFmt numFmtId="173" formatCode="0.0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"/>
      <color indexed="8"/>
      <name val="Courier"/>
      <family val="3"/>
    </font>
    <font>
      <sz val="10"/>
      <name val="Arial"/>
      <family val="2"/>
    </font>
    <font>
      <u/>
      <sz val="8.25"/>
      <color indexed="12"/>
      <name val="Calibri"/>
      <family val="2"/>
    </font>
    <font>
      <sz val="12"/>
      <color theme="1"/>
      <name val="Calibri"/>
      <family val="2"/>
      <scheme val="minor"/>
    </font>
    <font>
      <u/>
      <sz val="13.2"/>
      <color theme="10"/>
      <name val="Calibri"/>
      <family val="2"/>
    </font>
    <font>
      <sz val="10"/>
      <color indexed="64"/>
      <name val="Arial"/>
      <family val="2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Ubuntu"/>
      <family val="2"/>
    </font>
    <font>
      <sz val="11"/>
      <color theme="1"/>
      <name val="Ubuntu"/>
      <family val="2"/>
    </font>
    <font>
      <b/>
      <sz val="11"/>
      <color theme="1"/>
      <name val="Ubuntu"/>
      <family val="2"/>
    </font>
    <font>
      <b/>
      <sz val="11"/>
      <color rgb="FF000000"/>
      <name val="Ubuntu"/>
      <family val="2"/>
    </font>
    <font>
      <b/>
      <sz val="11"/>
      <name val="Ubuntu"/>
      <family val="2"/>
    </font>
    <font>
      <sz val="11"/>
      <name val="Ubuntu"/>
      <family val="2"/>
    </font>
    <font>
      <i/>
      <sz val="11"/>
      <color theme="1"/>
      <name val="Ubuntu"/>
      <family val="2"/>
    </font>
    <font>
      <sz val="11"/>
      <color rgb="FF000000"/>
      <name val="Ubuntu"/>
      <family val="2"/>
    </font>
    <font>
      <b/>
      <sz val="18"/>
      <name val="Ubuntu"/>
      <family val="2"/>
    </font>
    <font>
      <u/>
      <sz val="11"/>
      <name val="Ubuntu"/>
      <family val="2"/>
    </font>
    <font>
      <b/>
      <sz val="11"/>
      <name val="Ubuntu"/>
      <family val="2"/>
    </font>
    <font>
      <b/>
      <sz val="11"/>
      <color theme="1"/>
      <name val="Ubuntu"/>
      <family val="2"/>
    </font>
    <font>
      <sz val="11"/>
      <name val="Ubuntu"/>
      <family val="2"/>
    </font>
    <font>
      <sz val="11"/>
      <color theme="1"/>
      <name val="Ubuntu"/>
      <family val="2"/>
    </font>
    <font>
      <b/>
      <sz val="18"/>
      <color theme="1"/>
      <name val="Ubuntu"/>
      <family val="2"/>
    </font>
    <font>
      <sz val="11"/>
      <color rgb="FF000000"/>
      <name val="Ubuntu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00B0F0"/>
        <bgColor theme="5" tint="0.59999389629810485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4" tint="0.39997558519241921"/>
        <bgColor theme="5" tint="0.59999389629810485"/>
      </patternFill>
    </fill>
    <fill>
      <patternFill patternType="solid">
        <fgColor rgb="FFBF8F0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74">
    <xf numFmtId="0" fontId="0" fillId="0" borderId="0"/>
    <xf numFmtId="164" fontId="2" fillId="2" borderId="0" applyNumberFormat="0" applyBorder="0" applyAlignment="0" applyProtection="0"/>
    <xf numFmtId="9" fontId="1" fillId="0" borderId="0" applyFont="0" applyFill="0" applyBorder="0" applyAlignment="0" applyProtection="0"/>
    <xf numFmtId="168" fontId="1" fillId="0" borderId="0"/>
    <xf numFmtId="168" fontId="1" fillId="3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6" fillId="0" borderId="0">
      <protection locked="0"/>
    </xf>
    <xf numFmtId="166" fontId="1" fillId="0" borderId="0" applyFont="0" applyFill="0" applyBorder="0" applyAlignment="0" applyProtection="0"/>
    <xf numFmtId="168" fontId="7" fillId="0" borderId="0"/>
    <xf numFmtId="168" fontId="7" fillId="0" borderId="0"/>
    <xf numFmtId="168" fontId="7" fillId="0" borderId="0"/>
    <xf numFmtId="168" fontId="7" fillId="0" borderId="0"/>
    <xf numFmtId="43" fontId="1" fillId="0" borderId="0" applyFont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43" fontId="1" fillId="0" borderId="0" applyFont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8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8" fillId="0" borderId="0" applyNumberFormat="0" applyFill="0" applyBorder="0" applyAlignment="0" applyProtection="0">
      <alignment vertical="top"/>
      <protection locked="0"/>
    </xf>
    <xf numFmtId="168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/>
    <xf numFmtId="168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43" fontId="1" fillId="0" borderId="0" applyFont="0" applyFill="0" applyBorder="0" applyAlignment="0" applyProtection="0"/>
    <xf numFmtId="0" fontId="1" fillId="3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2" borderId="0" applyNumberFormat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11" fillId="0" borderId="0"/>
    <xf numFmtId="0" fontId="1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43" fontId="4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2" fillId="0" borderId="0"/>
    <xf numFmtId="171" fontId="12" fillId="0" borderId="0" applyBorder="0" applyProtection="0"/>
    <xf numFmtId="9" fontId="12" fillId="0" borderId="0" applyBorder="0" applyProtection="0"/>
    <xf numFmtId="171" fontId="12" fillId="0" borderId="0" applyBorder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27">
    <xf numFmtId="0" fontId="0" fillId="0" borderId="0" xfId="0"/>
    <xf numFmtId="43" fontId="13" fillId="0" borderId="0" xfId="373" applyFont="1" applyBorder="1"/>
    <xf numFmtId="43" fontId="14" fillId="0" borderId="0" xfId="373" applyFont="1" applyBorder="1"/>
    <xf numFmtId="172" fontId="14" fillId="0" borderId="0" xfId="373" applyNumberFormat="1" applyFont="1" applyBorder="1"/>
    <xf numFmtId="0" fontId="13" fillId="0" borderId="0" xfId="0" applyFont="1"/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18" fillId="0" borderId="1" xfId="0" applyFont="1" applyBorder="1" applyAlignment="1">
      <alignment vertical="center"/>
    </xf>
    <xf numFmtId="0" fontId="20" fillId="4" borderId="9" xfId="0" applyFont="1" applyFill="1" applyBorder="1"/>
    <xf numFmtId="0" fontId="20" fillId="4" borderId="2" xfId="0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0" fontId="21" fillId="14" borderId="12" xfId="0" applyFont="1" applyFill="1" applyBorder="1" applyAlignment="1">
      <alignment horizontal="center"/>
    </xf>
    <xf numFmtId="0" fontId="20" fillId="4" borderId="8" xfId="0" applyFont="1" applyFill="1" applyBorder="1"/>
    <xf numFmtId="0" fontId="20" fillId="4" borderId="1" xfId="0" applyFont="1" applyFill="1" applyBorder="1" applyAlignment="1">
      <alignment horizontal="center"/>
    </xf>
    <xf numFmtId="0" fontId="22" fillId="6" borderId="9" xfId="0" applyFont="1" applyFill="1" applyBorder="1" applyAlignment="1">
      <alignment horizontal="left" vertical="center"/>
    </xf>
    <xf numFmtId="43" fontId="22" fillId="6" borderId="2" xfId="373" applyFont="1" applyFill="1" applyBorder="1" applyAlignment="1">
      <alignment horizontal="center"/>
    </xf>
    <xf numFmtId="43" fontId="22" fillId="6" borderId="2" xfId="373" applyFont="1" applyFill="1" applyBorder="1" applyAlignment="1">
      <alignment horizontal="center" vertical="top"/>
    </xf>
    <xf numFmtId="0" fontId="20" fillId="5" borderId="6" xfId="0" applyFont="1" applyFill="1" applyBorder="1" applyAlignment="1">
      <alignment horizontal="left" vertical="center"/>
    </xf>
    <xf numFmtId="43" fontId="22" fillId="5" borderId="0" xfId="373" applyFont="1" applyFill="1" applyBorder="1" applyAlignment="1">
      <alignment horizontal="center"/>
    </xf>
    <xf numFmtId="43" fontId="22" fillId="5" borderId="7" xfId="373" applyFont="1" applyFill="1" applyBorder="1" applyAlignment="1">
      <alignment horizontal="center" shrinkToFit="1"/>
    </xf>
    <xf numFmtId="0" fontId="23" fillId="6" borderId="6" xfId="0" applyFont="1" applyFill="1" applyBorder="1" applyAlignment="1">
      <alignment horizontal="left" vertical="center"/>
    </xf>
    <xf numFmtId="43" fontId="23" fillId="6" borderId="0" xfId="373" applyFont="1" applyFill="1" applyBorder="1" applyAlignment="1">
      <alignment horizontal="center"/>
    </xf>
    <xf numFmtId="43" fontId="23" fillId="6" borderId="7" xfId="373" applyFont="1" applyFill="1" applyBorder="1" applyAlignment="1">
      <alignment horizontal="center" shrinkToFit="1"/>
    </xf>
    <xf numFmtId="0" fontId="19" fillId="5" borderId="6" xfId="0" applyFont="1" applyFill="1" applyBorder="1" applyAlignment="1">
      <alignment horizontal="left" vertical="center"/>
    </xf>
    <xf numFmtId="43" fontId="23" fillId="5" borderId="0" xfId="373" applyFont="1" applyFill="1" applyBorder="1" applyAlignment="1">
      <alignment horizontal="center"/>
    </xf>
    <xf numFmtId="43" fontId="23" fillId="5" borderId="7" xfId="373" applyFont="1" applyFill="1" applyBorder="1" applyAlignment="1">
      <alignment horizontal="center" shrinkToFit="1"/>
    </xf>
    <xf numFmtId="0" fontId="22" fillId="6" borderId="6" xfId="0" applyFont="1" applyFill="1" applyBorder="1" applyAlignment="1">
      <alignment horizontal="left" vertical="center"/>
    </xf>
    <xf numFmtId="43" fontId="22" fillId="6" borderId="0" xfId="373" applyFont="1" applyFill="1" applyBorder="1" applyAlignment="1">
      <alignment horizontal="center"/>
    </xf>
    <xf numFmtId="43" fontId="22" fillId="6" borderId="7" xfId="373" applyFont="1" applyFill="1" applyBorder="1" applyAlignment="1">
      <alignment horizontal="center" shrinkToFit="1"/>
    </xf>
    <xf numFmtId="43" fontId="20" fillId="0" borderId="0" xfId="373" applyFont="1" applyBorder="1"/>
    <xf numFmtId="43" fontId="24" fillId="0" borderId="0" xfId="373" applyFont="1" applyBorder="1"/>
    <xf numFmtId="172" fontId="24" fillId="0" borderId="0" xfId="373" applyNumberFormat="1" applyFont="1" applyBorder="1"/>
    <xf numFmtId="0" fontId="20" fillId="0" borderId="0" xfId="0" applyFont="1"/>
    <xf numFmtId="43" fontId="22" fillId="6" borderId="10" xfId="373" applyFont="1" applyFill="1" applyBorder="1" applyAlignment="1">
      <alignment horizontal="center" shrinkToFit="1"/>
    </xf>
    <xf numFmtId="0" fontId="20" fillId="5" borderId="9" xfId="0" applyFont="1" applyFill="1" applyBorder="1" applyAlignment="1">
      <alignment horizontal="left" vertical="center"/>
    </xf>
    <xf numFmtId="43" fontId="22" fillId="5" borderId="2" xfId="373" applyFont="1" applyFill="1" applyBorder="1" applyAlignment="1">
      <alignment horizontal="center"/>
    </xf>
    <xf numFmtId="43" fontId="22" fillId="5" borderId="10" xfId="373" applyFont="1" applyFill="1" applyBorder="1" applyAlignment="1">
      <alignment horizontal="center" shrinkToFit="1"/>
    </xf>
    <xf numFmtId="0" fontId="19" fillId="6" borderId="8" xfId="0" applyFont="1" applyFill="1" applyBorder="1"/>
    <xf numFmtId="172" fontId="19" fillId="6" borderId="1" xfId="373" applyNumberFormat="1" applyFont="1" applyFill="1" applyBorder="1" applyAlignment="1">
      <alignment horizontal="center"/>
    </xf>
    <xf numFmtId="9" fontId="19" fillId="0" borderId="0" xfId="374" applyFont="1"/>
    <xf numFmtId="0" fontId="19" fillId="7" borderId="0" xfId="0" applyFont="1" applyFill="1"/>
    <xf numFmtId="0" fontId="21" fillId="0" borderId="2" xfId="0" applyFont="1" applyBorder="1" applyAlignment="1">
      <alignment horizontal="center"/>
    </xf>
    <xf numFmtId="0" fontId="21" fillId="14" borderId="4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43" fontId="22" fillId="0" borderId="2" xfId="623" applyFont="1" applyFill="1" applyBorder="1" applyAlignment="1">
      <alignment horizontal="right" shrinkToFit="1"/>
    </xf>
    <xf numFmtId="43" fontId="22" fillId="0" borderId="0" xfId="623" applyFont="1" applyFill="1" applyAlignment="1">
      <alignment horizontal="right" shrinkToFit="1"/>
    </xf>
    <xf numFmtId="43" fontId="23" fillId="0" borderId="0" xfId="623" applyFont="1" applyFill="1" applyAlignment="1">
      <alignment horizontal="right" shrinkToFit="1"/>
    </xf>
    <xf numFmtId="43" fontId="23" fillId="0" borderId="1" xfId="623" applyFont="1" applyFill="1" applyBorder="1" applyAlignment="1">
      <alignment horizontal="right" shrinkToFit="1"/>
    </xf>
    <xf numFmtId="0" fontId="19" fillId="6" borderId="5" xfId="0" applyFont="1" applyFill="1" applyBorder="1"/>
    <xf numFmtId="43" fontId="19" fillId="6" borderId="3" xfId="373" applyFont="1" applyFill="1" applyBorder="1" applyAlignment="1">
      <alignment horizontal="center"/>
    </xf>
    <xf numFmtId="0" fontId="22" fillId="10" borderId="4" xfId="0" applyFont="1" applyFill="1" applyBorder="1" applyAlignment="1">
      <alignment horizontal="center"/>
    </xf>
    <xf numFmtId="0" fontId="27" fillId="11" borderId="4" xfId="873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/>
    </xf>
    <xf numFmtId="0" fontId="27" fillId="13" borderId="4" xfId="873" applyFont="1" applyFill="1" applyBorder="1" applyAlignment="1">
      <alignment horizontal="center" vertical="center"/>
    </xf>
    <xf numFmtId="173" fontId="25" fillId="0" borderId="13" xfId="0" applyNumberFormat="1" applyFont="1" applyBorder="1"/>
    <xf numFmtId="0" fontId="29" fillId="4" borderId="9" xfId="0" applyFont="1" applyFill="1" applyBorder="1"/>
    <xf numFmtId="0" fontId="29" fillId="4" borderId="2" xfId="0" applyFont="1" applyFill="1" applyBorder="1" applyAlignment="1">
      <alignment horizontal="center"/>
    </xf>
    <xf numFmtId="0" fontId="29" fillId="4" borderId="10" xfId="0" applyFont="1" applyFill="1" applyBorder="1" applyAlignment="1">
      <alignment horizontal="center"/>
    </xf>
    <xf numFmtId="0" fontId="29" fillId="4" borderId="8" xfId="0" applyFont="1" applyFill="1" applyBorder="1"/>
    <xf numFmtId="0" fontId="29" fillId="4" borderId="1" xfId="0" applyFont="1" applyFill="1" applyBorder="1" applyAlignment="1">
      <alignment horizontal="center"/>
    </xf>
    <xf numFmtId="0" fontId="28" fillId="6" borderId="9" xfId="0" applyFont="1" applyFill="1" applyBorder="1" applyAlignment="1">
      <alignment horizontal="left" vertical="center"/>
    </xf>
    <xf numFmtId="43" fontId="28" fillId="6" borderId="2" xfId="373" applyFont="1" applyFill="1" applyBorder="1" applyAlignment="1">
      <alignment horizontal="center"/>
    </xf>
    <xf numFmtId="43" fontId="28" fillId="6" borderId="2" xfId="373" applyFont="1" applyFill="1" applyBorder="1" applyAlignment="1">
      <alignment horizontal="center" vertical="top"/>
    </xf>
    <xf numFmtId="0" fontId="29" fillId="5" borderId="6" xfId="0" applyFont="1" applyFill="1" applyBorder="1" applyAlignment="1">
      <alignment horizontal="left" vertical="center"/>
    </xf>
    <xf numFmtId="43" fontId="28" fillId="5" borderId="0" xfId="373" applyFont="1" applyFill="1" applyBorder="1" applyAlignment="1">
      <alignment horizontal="center"/>
    </xf>
    <xf numFmtId="43" fontId="28" fillId="5" borderId="7" xfId="373" applyFont="1" applyFill="1" applyBorder="1" applyAlignment="1">
      <alignment horizontal="center" vertical="center" shrinkToFit="1"/>
    </xf>
    <xf numFmtId="0" fontId="30" fillId="6" borderId="6" xfId="0" applyFont="1" applyFill="1" applyBorder="1" applyAlignment="1">
      <alignment horizontal="left" vertical="center"/>
    </xf>
    <xf numFmtId="43" fontId="30" fillId="6" borderId="0" xfId="373" applyFont="1" applyFill="1" applyBorder="1" applyAlignment="1">
      <alignment horizontal="center"/>
    </xf>
    <xf numFmtId="43" fontId="30" fillId="6" borderId="7" xfId="373" applyFont="1" applyFill="1" applyBorder="1" applyAlignment="1">
      <alignment horizontal="center" vertical="center" shrinkToFit="1"/>
    </xf>
    <xf numFmtId="0" fontId="31" fillId="5" borderId="6" xfId="0" applyFont="1" applyFill="1" applyBorder="1" applyAlignment="1">
      <alignment horizontal="left" vertical="center"/>
    </xf>
    <xf numFmtId="43" fontId="30" fillId="5" borderId="0" xfId="373" applyFont="1" applyFill="1" applyBorder="1" applyAlignment="1">
      <alignment horizontal="center"/>
    </xf>
    <xf numFmtId="43" fontId="30" fillId="5" borderId="7" xfId="373" applyFont="1" applyFill="1" applyBorder="1" applyAlignment="1">
      <alignment horizontal="center" vertical="center" shrinkToFit="1"/>
    </xf>
    <xf numFmtId="0" fontId="28" fillId="6" borderId="6" xfId="0" applyFont="1" applyFill="1" applyBorder="1" applyAlignment="1">
      <alignment horizontal="left" vertical="center"/>
    </xf>
    <xf numFmtId="43" fontId="28" fillId="6" borderId="0" xfId="373" applyFont="1" applyFill="1" applyBorder="1" applyAlignment="1">
      <alignment horizontal="center"/>
    </xf>
    <xf numFmtId="43" fontId="28" fillId="6" borderId="7" xfId="373" applyFont="1" applyFill="1" applyBorder="1" applyAlignment="1">
      <alignment horizontal="center" vertical="center" shrinkToFit="1"/>
    </xf>
    <xf numFmtId="43" fontId="28" fillId="6" borderId="10" xfId="373" applyFont="1" applyFill="1" applyBorder="1" applyAlignment="1">
      <alignment horizontal="center" vertical="center" shrinkToFit="1"/>
    </xf>
    <xf numFmtId="0" fontId="29" fillId="5" borderId="9" xfId="0" applyFont="1" applyFill="1" applyBorder="1" applyAlignment="1">
      <alignment horizontal="left" vertical="center"/>
    </xf>
    <xf numFmtId="43" fontId="28" fillId="5" borderId="2" xfId="373" applyFont="1" applyFill="1" applyBorder="1" applyAlignment="1">
      <alignment horizontal="center"/>
    </xf>
    <xf numFmtId="43" fontId="28" fillId="5" borderId="10" xfId="373" applyFont="1" applyFill="1" applyBorder="1" applyAlignment="1">
      <alignment horizontal="center" vertical="center" shrinkToFit="1"/>
    </xf>
    <xf numFmtId="0" fontId="29" fillId="5" borderId="5" xfId="0" applyFont="1" applyFill="1" applyBorder="1" applyAlignment="1">
      <alignment horizontal="left" vertical="center"/>
    </xf>
    <xf numFmtId="43" fontId="28" fillId="5" borderId="3" xfId="373" applyFont="1" applyFill="1" applyBorder="1" applyAlignment="1">
      <alignment horizontal="center"/>
    </xf>
    <xf numFmtId="0" fontId="32" fillId="0" borderId="1" xfId="0" applyFont="1" applyBorder="1" applyAlignment="1">
      <alignment vertical="center"/>
    </xf>
    <xf numFmtId="0" fontId="31" fillId="0" borderId="2" xfId="0" applyFont="1" applyBorder="1"/>
    <xf numFmtId="0" fontId="31" fillId="6" borderId="6" xfId="0" applyFont="1" applyFill="1" applyBorder="1"/>
    <xf numFmtId="43" fontId="31" fillId="6" borderId="0" xfId="373" applyFont="1" applyFill="1" applyBorder="1" applyAlignment="1">
      <alignment horizontal="center"/>
    </xf>
    <xf numFmtId="0" fontId="31" fillId="6" borderId="8" xfId="0" applyFont="1" applyFill="1" applyBorder="1"/>
    <xf numFmtId="172" fontId="31" fillId="6" borderId="1" xfId="373" applyNumberFormat="1" applyFont="1" applyFill="1" applyBorder="1" applyAlignment="1">
      <alignment horizontal="center"/>
    </xf>
    <xf numFmtId="0" fontId="31" fillId="7" borderId="0" xfId="0" applyFont="1" applyFill="1"/>
    <xf numFmtId="0" fontId="29" fillId="0" borderId="0" xfId="0" applyFont="1"/>
    <xf numFmtId="43" fontId="30" fillId="7" borderId="0" xfId="621" applyFont="1" applyFill="1" applyBorder="1" applyAlignment="1">
      <alignment horizontal="right" shrinkToFit="1"/>
    </xf>
    <xf numFmtId="9" fontId="31" fillId="0" borderId="3" xfId="374" applyFont="1" applyBorder="1"/>
    <xf numFmtId="0" fontId="31" fillId="0" borderId="0" xfId="0" applyFont="1"/>
    <xf numFmtId="0" fontId="33" fillId="8" borderId="0" xfId="0" applyFont="1" applyFill="1"/>
    <xf numFmtId="43" fontId="28" fillId="5" borderId="7" xfId="373" applyFont="1" applyFill="1" applyBorder="1" applyAlignment="1">
      <alignment horizontal="center" shrinkToFit="1"/>
    </xf>
    <xf numFmtId="43" fontId="30" fillId="6" borderId="7" xfId="373" applyFont="1" applyFill="1" applyBorder="1" applyAlignment="1">
      <alignment horizontal="center" shrinkToFit="1"/>
    </xf>
    <xf numFmtId="43" fontId="30" fillId="5" borderId="7" xfId="373" applyFont="1" applyFill="1" applyBorder="1" applyAlignment="1">
      <alignment horizontal="center" shrinkToFit="1"/>
    </xf>
    <xf numFmtId="43" fontId="28" fillId="6" borderId="7" xfId="373" applyFont="1" applyFill="1" applyBorder="1" applyAlignment="1">
      <alignment horizontal="center" shrinkToFit="1"/>
    </xf>
    <xf numFmtId="43" fontId="28" fillId="6" borderId="10" xfId="373" applyFont="1" applyFill="1" applyBorder="1" applyAlignment="1">
      <alignment horizontal="center" shrinkToFit="1"/>
    </xf>
    <xf numFmtId="43" fontId="28" fillId="5" borderId="10" xfId="373" applyFont="1" applyFill="1" applyBorder="1" applyAlignment="1">
      <alignment horizontal="center" shrinkToFit="1"/>
    </xf>
    <xf numFmtId="9" fontId="31" fillId="0" borderId="0" xfId="374" applyFont="1"/>
    <xf numFmtId="10" fontId="19" fillId="0" borderId="11" xfId="374" applyNumberFormat="1" applyFont="1" applyBorder="1" applyAlignment="1">
      <alignment horizontal="center" vertical="center"/>
    </xf>
    <xf numFmtId="10" fontId="23" fillId="0" borderId="12" xfId="374" applyNumberFormat="1" applyFont="1" applyBorder="1" applyAlignment="1">
      <alignment horizontal="center" vertical="center" shrinkToFit="1"/>
    </xf>
    <xf numFmtId="10" fontId="22" fillId="0" borderId="9" xfId="374" applyNumberFormat="1" applyFont="1" applyFill="1" applyBorder="1" applyAlignment="1">
      <alignment horizontal="center" vertical="center" shrinkToFit="1"/>
    </xf>
    <xf numFmtId="10" fontId="22" fillId="0" borderId="6" xfId="374" applyNumberFormat="1" applyFont="1" applyFill="1" applyBorder="1" applyAlignment="1">
      <alignment horizontal="center" vertical="center" shrinkToFit="1"/>
    </xf>
    <xf numFmtId="10" fontId="23" fillId="0" borderId="6" xfId="374" applyNumberFormat="1" applyFont="1" applyFill="1" applyBorder="1" applyAlignment="1">
      <alignment horizontal="center" vertical="center" shrinkToFit="1"/>
    </xf>
    <xf numFmtId="10" fontId="23" fillId="0" borderId="8" xfId="374" applyNumberFormat="1" applyFont="1" applyFill="1" applyBorder="1" applyAlignment="1">
      <alignment horizontal="center" vertical="center" shrinkToFit="1"/>
    </xf>
    <xf numFmtId="2" fontId="19" fillId="0" borderId="5" xfId="0" applyNumberFormat="1" applyFont="1" applyBorder="1"/>
    <xf numFmtId="172" fontId="23" fillId="0" borderId="8" xfId="0" applyNumberFormat="1" applyFont="1" applyBorder="1" applyAlignment="1">
      <alignment horizontal="right" shrinkToFit="1"/>
    </xf>
    <xf numFmtId="173" fontId="0" fillId="0" borderId="0" xfId="373" applyNumberFormat="1" applyFont="1" applyFill="1" applyBorder="1"/>
    <xf numFmtId="0" fontId="29" fillId="4" borderId="14" xfId="0" applyFont="1" applyFill="1" applyBorder="1" applyAlignment="1">
      <alignment horizontal="center"/>
    </xf>
    <xf numFmtId="43" fontId="28" fillId="6" borderId="7" xfId="373" applyFont="1" applyFill="1" applyBorder="1" applyAlignment="1">
      <alignment horizontal="center"/>
    </xf>
    <xf numFmtId="43" fontId="30" fillId="5" borderId="7" xfId="373" applyFont="1" applyFill="1" applyBorder="1" applyAlignment="1">
      <alignment horizontal="center"/>
    </xf>
    <xf numFmtId="43" fontId="30" fillId="6" borderId="7" xfId="373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43" fontId="23" fillId="5" borderId="7" xfId="373" applyFont="1" applyFill="1" applyBorder="1" applyAlignment="1">
      <alignment horizontal="center"/>
    </xf>
    <xf numFmtId="43" fontId="22" fillId="6" borderId="7" xfId="373" applyFont="1" applyFill="1" applyBorder="1" applyAlignment="1">
      <alignment horizontal="center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26" fillId="9" borderId="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1" fillId="7" borderId="0" xfId="0" applyFont="1" applyFill="1" applyAlignment="1">
      <alignment horizontal="left" vertical="center" wrapText="1"/>
    </xf>
    <xf numFmtId="0" fontId="3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3" fillId="8" borderId="0" xfId="0" applyFont="1" applyFill="1" applyAlignment="1">
      <alignment horizontal="left" vertical="center" wrapText="1"/>
    </xf>
  </cellXfs>
  <cellStyles count="874">
    <cellStyle name="‡" xfId="10" xr:uid="{00000000-0005-0000-0000-000000000000}"/>
    <cellStyle name="60% - Ênfase1 2" xfId="1" xr:uid="{00000000-0005-0000-0000-000000000000}"/>
    <cellStyle name="60% - Ênfase1 2 2" xfId="239" xr:uid="{00000000-0005-0000-0000-000001000000}"/>
    <cellStyle name="Comma 2" xfId="9" xr:uid="{00000000-0005-0000-0000-000002000000}"/>
    <cellStyle name="Comma 2 2" xfId="316" xr:uid="{00000000-0005-0000-0000-000003000000}"/>
    <cellStyle name="Comma 2 2 2" xfId="593" xr:uid="{53E23AA7-C972-472F-81E8-7542B4EF6D7A}"/>
    <cellStyle name="Comma 2 2 3" xfId="842" xr:uid="{18A20D98-25D6-4CC0-96AA-345A26594BF3}"/>
    <cellStyle name="Comma 2 3" xfId="232" xr:uid="{00000000-0005-0000-0000-000004000000}"/>
    <cellStyle name="Comma 2 3 2" xfId="543" xr:uid="{C8913ABA-AAAC-4228-A563-4FF3D0500B97}"/>
    <cellStyle name="Comma 2 3 3" xfId="792" xr:uid="{6B54B4C6-7FF4-476E-910B-8692B31F78FC}"/>
    <cellStyle name="Comma 2 4" xfId="338" xr:uid="{00000000-0005-0000-0000-000005000000}"/>
    <cellStyle name="Comma 2 4 2" xfId="609" xr:uid="{BF47D573-0DDE-4530-91B1-EB5AE5AAE87B}"/>
    <cellStyle name="Comma 2 4 3" xfId="858" xr:uid="{1ABB71A9-B228-496C-84C7-C9C9EB7D73CF}"/>
    <cellStyle name="Comma 2 5" xfId="379" xr:uid="{CBD8A965-096C-42FB-A930-9A096136CFF1}"/>
    <cellStyle name="Comma 2 6" xfId="628" xr:uid="{557FDC20-6590-4788-8887-F7EA99EA0EA9}"/>
    <cellStyle name="Estilo 1" xfId="4" xr:uid="{00000000-0005-0000-0000-000006000000}"/>
    <cellStyle name="Estilo 1 2" xfId="233" xr:uid="{00000000-0005-0000-0000-000007000000}"/>
    <cellStyle name="Hiperlink" xfId="873" builtinId="8"/>
    <cellStyle name="Hiperlink 2" xfId="55" xr:uid="{00000000-0005-0000-0000-000009000000}"/>
    <cellStyle name="Hiperlink 2 2" xfId="328" xr:uid="{00000000-0005-0000-0000-00000A000000}"/>
    <cellStyle name="Hyperlink 2" xfId="43" xr:uid="{00000000-0005-0000-0000-00000B000000}"/>
    <cellStyle name="Hyperlink 2 2" xfId="235" xr:uid="{00000000-0005-0000-0000-00000C000000}"/>
    <cellStyle name="Hyperlink 3" xfId="51" xr:uid="{00000000-0005-0000-0000-00000D000000}"/>
    <cellStyle name="Hyperlink 3 2" xfId="273" xr:uid="{00000000-0005-0000-0000-00000E000000}"/>
    <cellStyle name="Hyperlink 4" xfId="268" xr:uid="{00000000-0005-0000-0000-00000F000000}"/>
    <cellStyle name="Moeda 2" xfId="240" xr:uid="{00000000-0005-0000-0000-000011000000}"/>
    <cellStyle name="Moeda 2 2" xfId="247" xr:uid="{00000000-0005-0000-0000-000012000000}"/>
    <cellStyle name="Moeda 2 3" xfId="546" xr:uid="{A3D12CCF-2858-49BB-8DE8-5F38BD846E23}"/>
    <cellStyle name="Moeda 2 4" xfId="795" xr:uid="{34054535-E6DF-42AC-B360-50D038A35BC8}"/>
    <cellStyle name="Moeda 3" xfId="11" xr:uid="{00000000-0005-0000-0000-000013000000}"/>
    <cellStyle name="Moeda 4" xfId="327" xr:uid="{00000000-0005-0000-0000-000014000000}"/>
    <cellStyle name="Moeda 4 2" xfId="604" xr:uid="{28E1AA06-0E00-4FBA-8B2C-1EAAD06CF04D}"/>
    <cellStyle name="Moeda 4 3" xfId="853" xr:uid="{47EFA6A1-AFB2-47CA-81CF-A12E381517D2}"/>
    <cellStyle name="Moeda 5" xfId="54" xr:uid="{00000000-0005-0000-0000-000041000000}"/>
    <cellStyle name="Moeda 5 2" xfId="392" xr:uid="{5F1F30A2-FDBE-4D46-B2FF-31CAD9FF9DDC}"/>
    <cellStyle name="Moeda 5 3" xfId="641" xr:uid="{9DA20E0E-2C7F-422E-87AB-1E8EED2FA47E}"/>
    <cellStyle name="Normal" xfId="0" builtinId="0"/>
    <cellStyle name="Normal 10" xfId="249" xr:uid="{00000000-0005-0000-0000-000016000000}"/>
    <cellStyle name="Normal 11" xfId="151" xr:uid="{00000000-0005-0000-0000-000017000000}"/>
    <cellStyle name="Normal 12" xfId="329" xr:uid="{00000000-0005-0000-0000-000018000000}"/>
    <cellStyle name="Normal 13" xfId="330" xr:uid="{00000000-0005-0000-0000-000019000000}"/>
    <cellStyle name="Normal 14" xfId="3" xr:uid="{00000000-0005-0000-0000-000046000000}"/>
    <cellStyle name="Normal 15" xfId="48" xr:uid="{00000000-0005-0000-0000-000090010000}"/>
    <cellStyle name="Normal 16" xfId="370" xr:uid="{00000000-0005-0000-0000-000091010000}"/>
    <cellStyle name="Normal 17" xfId="364" xr:uid="{00000000-0005-0000-0000-000092010000}"/>
    <cellStyle name="Normal 18" xfId="372" xr:uid="{00000000-0005-0000-0000-000093010000}"/>
    <cellStyle name="Normal 19" xfId="369" xr:uid="{00000000-0005-0000-0000-000094010000}"/>
    <cellStyle name="Normal 2" xfId="12" xr:uid="{00000000-0005-0000-0000-00001A000000}"/>
    <cellStyle name="Normal 2 2" xfId="260" xr:uid="{00000000-0005-0000-0000-00001B000000}"/>
    <cellStyle name="Normal 2 3" xfId="258" xr:uid="{00000000-0005-0000-0000-00001C000000}"/>
    <cellStyle name="Normal 2 4" xfId="301" xr:uid="{00000000-0005-0000-0000-00001D000000}"/>
    <cellStyle name="Normal 2 5" xfId="312" xr:uid="{00000000-0005-0000-0000-00001E000000}"/>
    <cellStyle name="Normal 2 6" xfId="254" xr:uid="{00000000-0005-0000-0000-00001F000000}"/>
    <cellStyle name="Normal 2 7" xfId="58" xr:uid="{00000000-0005-0000-0000-000020000000}"/>
    <cellStyle name="Normal 20" xfId="359" xr:uid="{00000000-0005-0000-0000-000095010000}"/>
    <cellStyle name="Normal 21" xfId="366" xr:uid="{00000000-0005-0000-0000-000096010000}"/>
    <cellStyle name="Normal 22" xfId="363" xr:uid="{00000000-0005-0000-0000-000097010000}"/>
    <cellStyle name="Normal 23" xfId="360" xr:uid="{00000000-0005-0000-0000-000098010000}"/>
    <cellStyle name="Normal 24" xfId="365" xr:uid="{00000000-0005-0000-0000-000099010000}"/>
    <cellStyle name="Normal 25" xfId="356" xr:uid="{00000000-0005-0000-0000-00009A010000}"/>
    <cellStyle name="Normal 26" xfId="367" xr:uid="{00000000-0005-0000-0000-00009B010000}"/>
    <cellStyle name="Normal 27" xfId="361" xr:uid="{00000000-0005-0000-0000-00009C010000}"/>
    <cellStyle name="Normal 28" xfId="368" xr:uid="{00000000-0005-0000-0000-00009D010000}"/>
    <cellStyle name="Normal 29" xfId="357" xr:uid="{00000000-0005-0000-0000-00009E010000}"/>
    <cellStyle name="Normal 3" xfId="13" xr:uid="{00000000-0005-0000-0000-000021000000}"/>
    <cellStyle name="Normal 3 2" xfId="241" xr:uid="{00000000-0005-0000-0000-000022000000}"/>
    <cellStyle name="Normal 3 2 2" xfId="253" xr:uid="{00000000-0005-0000-0000-000023000000}"/>
    <cellStyle name="Normal 3 3" xfId="259" xr:uid="{00000000-0005-0000-0000-000024000000}"/>
    <cellStyle name="Normal 3 4" xfId="152" xr:uid="{00000000-0005-0000-0000-000025000000}"/>
    <cellStyle name="Normal 30" xfId="355" xr:uid="{00000000-0005-0000-0000-00009F010000}"/>
    <cellStyle name="Normal 31" xfId="362" xr:uid="{00000000-0005-0000-0000-0000A0010000}"/>
    <cellStyle name="Normal 32" xfId="371" xr:uid="{00000000-0005-0000-0000-0000A1010000}"/>
    <cellStyle name="Normal 33" xfId="354" xr:uid="{00000000-0005-0000-0000-0000A2010000}"/>
    <cellStyle name="Normal 34" xfId="358" xr:uid="{00000000-0005-0000-0000-0000A3010000}"/>
    <cellStyle name="Normal 4" xfId="14" xr:uid="{00000000-0005-0000-0000-000026000000}"/>
    <cellStyle name="Normal 4 2" xfId="242" xr:uid="{00000000-0005-0000-0000-000027000000}"/>
    <cellStyle name="Normal 4 2 2" xfId="252" xr:uid="{00000000-0005-0000-0000-000028000000}"/>
    <cellStyle name="Normal 4 3" xfId="153" xr:uid="{00000000-0005-0000-0000-000029000000}"/>
    <cellStyle name="Normal 5" xfId="15" xr:uid="{00000000-0005-0000-0000-00002A000000}"/>
    <cellStyle name="Normal 5 2" xfId="243" xr:uid="{00000000-0005-0000-0000-00002B000000}"/>
    <cellStyle name="Normal 5 2 2" xfId="251" xr:uid="{00000000-0005-0000-0000-00002C000000}"/>
    <cellStyle name="Normal 5 3" xfId="154" xr:uid="{00000000-0005-0000-0000-00002D000000}"/>
    <cellStyle name="Normal 6" xfId="47" xr:uid="{00000000-0005-0000-0000-00002E000000}"/>
    <cellStyle name="Normal 6 2" xfId="299" xr:uid="{00000000-0005-0000-0000-00002F000000}"/>
    <cellStyle name="Normal 6 3" xfId="305" xr:uid="{00000000-0005-0000-0000-000030000000}"/>
    <cellStyle name="Normal 6 4" xfId="309" xr:uid="{00000000-0005-0000-0000-000031000000}"/>
    <cellStyle name="Normal 6 5" xfId="265" xr:uid="{00000000-0005-0000-0000-000032000000}"/>
    <cellStyle name="Normal 6 6" xfId="236" xr:uid="{00000000-0005-0000-0000-000033000000}"/>
    <cellStyle name="Normal 7" xfId="44" xr:uid="{00000000-0005-0000-0000-000034000000}"/>
    <cellStyle name="Normal 7 2" xfId="262" xr:uid="{00000000-0005-0000-0000-000035000000}"/>
    <cellStyle name="Normal 8" xfId="244" xr:uid="{00000000-0005-0000-0000-000036000000}"/>
    <cellStyle name="Normal 9" xfId="56" xr:uid="{00000000-0005-0000-0000-000037000000}"/>
    <cellStyle name="Porcentagem" xfId="374" builtinId="5"/>
    <cellStyle name="Porcentagem 2" xfId="2" xr:uid="{00000000-0005-0000-0000-000003000000}"/>
    <cellStyle name="Porcentagem 2 2" xfId="245" xr:uid="{00000000-0005-0000-0000-00003A000000}"/>
    <cellStyle name="Porcentagem 2 3" xfId="300" xr:uid="{00000000-0005-0000-0000-00003B000000}"/>
    <cellStyle name="Porcentagem 2 4" xfId="302" xr:uid="{00000000-0005-0000-0000-00003C000000}"/>
    <cellStyle name="Porcentagem 2 5" xfId="307" xr:uid="{00000000-0005-0000-0000-00003D000000}"/>
    <cellStyle name="Porcentagem 2 6" xfId="256" xr:uid="{00000000-0005-0000-0000-00003E000000}"/>
    <cellStyle name="Porcentagem 2 7" xfId="238" xr:uid="{00000000-0005-0000-0000-00003F000000}"/>
    <cellStyle name="Porcentagem 3" xfId="46" xr:uid="{00000000-0005-0000-0000-000040000000}"/>
    <cellStyle name="Porcentagem 3 2" xfId="264" xr:uid="{00000000-0005-0000-0000-000041000000}"/>
    <cellStyle name="Porcentagem 3 3" xfId="257" xr:uid="{00000000-0005-0000-0000-000042000000}"/>
    <cellStyle name="Porcentagem 4" xfId="346" xr:uid="{00000000-0005-0000-0000-000043000000}"/>
    <cellStyle name="Porcentagem 5" xfId="352" xr:uid="{00000000-0005-0000-0000-000044000000}"/>
    <cellStyle name="Porcentagem 6" xfId="332" xr:uid="{00000000-0005-0000-0000-000045000000}"/>
    <cellStyle name="Separador de milhares 10" xfId="7" xr:uid="{00000000-0005-0000-0000-000046000000}"/>
    <cellStyle name="Separador de milhares 10 10" xfId="336" xr:uid="{00000000-0005-0000-0000-000047000000}"/>
    <cellStyle name="Separador de milhares 10 10 2" xfId="607" xr:uid="{2AA5DCB5-B079-4936-87FB-73D7E91EF043}"/>
    <cellStyle name="Separador de milhares 10 10 3" xfId="856" xr:uid="{61F6AE9A-563D-4004-9F64-2DCAC48C661B}"/>
    <cellStyle name="Separador de milhares 10 11" xfId="377" xr:uid="{5AE1C171-E73B-4698-8279-30D5BD8DEFD9}"/>
    <cellStyle name="Separador de milhares 10 12" xfId="626" xr:uid="{EF436FC3-D704-4C8A-B11F-7C1E2D3DBDE8}"/>
    <cellStyle name="Separador de milhares 10 2" xfId="52" xr:uid="{00000000-0005-0000-0000-000048000000}"/>
    <cellStyle name="Separador de milhares 10 2 2" xfId="325" xr:uid="{00000000-0005-0000-0000-000049000000}"/>
    <cellStyle name="Separador de milhares 10 2 2 2" xfId="602" xr:uid="{F7F54AED-7134-4153-AFB2-4019006D3133}"/>
    <cellStyle name="Separador de milhares 10 2 2 3" xfId="851" xr:uid="{975805EC-02A9-488C-BC80-9161437D21F8}"/>
    <cellStyle name="Separador de milhares 10 2 3" xfId="234" xr:uid="{00000000-0005-0000-0000-00004A000000}"/>
    <cellStyle name="Separador de milhares 10 2 3 2" xfId="544" xr:uid="{55B8BC71-1B62-4C82-8281-ACD8BF3F0496}"/>
    <cellStyle name="Separador de milhares 10 2 3 3" xfId="793" xr:uid="{828B32B8-CB8A-4D0F-9263-2E1A1A8DE76E}"/>
    <cellStyle name="Separador de milhares 10 2 4" xfId="350" xr:uid="{00000000-0005-0000-0000-00004B000000}"/>
    <cellStyle name="Separador de milhares 10 2 4 2" xfId="620" xr:uid="{5ABC5D2E-79C7-4429-89AA-A1E8B715E6F9}"/>
    <cellStyle name="Separador de milhares 10 2 4 3" xfId="869" xr:uid="{1C5D333E-CA8E-407E-8BD0-3B1882F91076}"/>
    <cellStyle name="Separador de milhares 10 2 5" xfId="390" xr:uid="{AB76BB89-A655-47C4-89BF-4F9F2A9CBE18}"/>
    <cellStyle name="Separador de milhares 10 2 6" xfId="639" xr:uid="{C4BD2D43-DE7F-4F82-A290-28D88F213C08}"/>
    <cellStyle name="Separador de milhares 10 3" xfId="49" xr:uid="{00000000-0005-0000-0000-00004C000000}"/>
    <cellStyle name="Separador de milhares 10 3 2" xfId="323" xr:uid="{00000000-0005-0000-0000-00004D000000}"/>
    <cellStyle name="Separador de milhares 10 3 2 2" xfId="600" xr:uid="{257FFF3B-9F85-4CC9-A2C1-8ABC8A0EA114}"/>
    <cellStyle name="Separador de milhares 10 3 2 3" xfId="849" xr:uid="{97143847-6EA0-44C3-868B-41ED914F69A7}"/>
    <cellStyle name="Separador de milhares 10 3 3" xfId="271" xr:uid="{00000000-0005-0000-0000-00004E000000}"/>
    <cellStyle name="Separador de milhares 10 3 3 2" xfId="557" xr:uid="{2D73FC3F-576D-4A3B-A451-E255714EE0D3}"/>
    <cellStyle name="Separador de milhares 10 3 3 3" xfId="806" xr:uid="{44AC1A7F-ACBA-4FD1-ABD3-ABF188EF6A03}"/>
    <cellStyle name="Separador de milhares 10 3 4" xfId="348" xr:uid="{00000000-0005-0000-0000-00004F000000}"/>
    <cellStyle name="Separador de milhares 10 3 4 2" xfId="618" xr:uid="{EF78F0D1-52E3-484B-8FD2-AA119D3407DB}"/>
    <cellStyle name="Separador de milhares 10 3 4 3" xfId="867" xr:uid="{B5EB22C5-DD87-4E7C-A124-4C7E66EBAD0C}"/>
    <cellStyle name="Separador de milhares 10 3 5" xfId="388" xr:uid="{BCA82DB6-24BE-4644-896F-3B9BE1FC8A2A}"/>
    <cellStyle name="Separador de milhares 10 3 6" xfId="637" xr:uid="{CC09C025-A31E-4E0E-90DF-9BF107E4F887}"/>
    <cellStyle name="Separador de milhares 10 4" xfId="269" xr:uid="{00000000-0005-0000-0000-000050000000}"/>
    <cellStyle name="Separador de milhares 10 4 2" xfId="555" xr:uid="{B7F57922-0B1C-4543-A1EB-053B8874C79A}"/>
    <cellStyle name="Separador de milhares 10 4 3" xfId="804" xr:uid="{08FDC935-14C9-47DB-9DC2-70DC77B53E46}"/>
    <cellStyle name="Separador de milhares 10 5" xfId="293" xr:uid="{00000000-0005-0000-0000-000051000000}"/>
    <cellStyle name="Separador de milhares 10 5 2" xfId="578" xr:uid="{ED7353A1-C64C-4B30-863B-3C259A3A14EC}"/>
    <cellStyle name="Separador de milhares 10 5 3" xfId="827" xr:uid="{CDD74DDB-7F4C-4F27-8F0B-FD52ED911307}"/>
    <cellStyle name="Separador de milhares 10 6" xfId="306" xr:uid="{00000000-0005-0000-0000-000052000000}"/>
    <cellStyle name="Separador de milhares 10 6 2" xfId="586" xr:uid="{6B74D67F-DF24-41A5-91FF-F0C205FAF58E}"/>
    <cellStyle name="Separador de milhares 10 6 3" xfId="835" xr:uid="{A4185D87-D15E-4C08-B83C-28453B5CA281}"/>
    <cellStyle name="Separador de milhares 10 7" xfId="308" xr:uid="{00000000-0005-0000-0000-000053000000}"/>
    <cellStyle name="Separador de milhares 10 7 2" xfId="587" xr:uid="{306C9040-D707-4090-B8AA-12C0F0D96A45}"/>
    <cellStyle name="Separador de milhares 10 7 3" xfId="836" xr:uid="{1A33A982-DD5E-496C-91B0-4A2525638809}"/>
    <cellStyle name="Separador de milhares 10 8" xfId="266" xr:uid="{00000000-0005-0000-0000-000054000000}"/>
    <cellStyle name="Separador de milhares 10 8 2" xfId="553" xr:uid="{160987B6-E1DF-41DE-AD90-FB1EF012A425}"/>
    <cellStyle name="Separador de milhares 10 8 3" xfId="802" xr:uid="{25707314-EEB0-429D-82A9-40452173974E}"/>
    <cellStyle name="Separador de milhares 10 9" xfId="59" xr:uid="{00000000-0005-0000-0000-000055000000}"/>
    <cellStyle name="Separador de milhares 10 9 2" xfId="394" xr:uid="{5FA15835-382A-4D8D-8ACC-3A5D25F05539}"/>
    <cellStyle name="Separador de milhares 10 9 3" xfId="643" xr:uid="{D1EA18E1-59D5-455D-A2B0-B424B1334FC9}"/>
    <cellStyle name="Separador de milhares 100" xfId="5" xr:uid="{00000000-0005-0000-0000-000056000000}"/>
    <cellStyle name="Separador de milhares 100 2" xfId="313" xr:uid="{00000000-0005-0000-0000-000057000000}"/>
    <cellStyle name="Separador de milhares 100 2 2" xfId="590" xr:uid="{E28FAF7A-BFCE-4B91-A896-05D2F61E68E3}"/>
    <cellStyle name="Separador de milhares 100 2 3" xfId="839" xr:uid="{B82B2005-E8E6-44E0-9D0A-119B88C3B9D9}"/>
    <cellStyle name="Separador de milhares 100 3" xfId="155" xr:uid="{00000000-0005-0000-0000-000058000000}"/>
    <cellStyle name="Separador de milhares 100 3 2" xfId="486" xr:uid="{B40F3800-957B-44AF-840E-05A0809CACD0}"/>
    <cellStyle name="Separador de milhares 100 3 3" xfId="735" xr:uid="{F28AE98B-FA3F-49D5-BC0A-56B163A4A6DA}"/>
    <cellStyle name="Separador de milhares 100 4" xfId="334" xr:uid="{00000000-0005-0000-0000-000059000000}"/>
    <cellStyle name="Separador de milhares 100 4 2" xfId="605" xr:uid="{A0AE5C0E-C077-4D03-9956-23E863C9FC64}"/>
    <cellStyle name="Separador de milhares 100 4 3" xfId="854" xr:uid="{46FD389F-F08F-4E16-9118-C5FE19FBC0CC}"/>
    <cellStyle name="Separador de milhares 100 5" xfId="375" xr:uid="{4109258A-86A1-4D60-8054-FEDBAD6B85B6}"/>
    <cellStyle name="Separador de milhares 100 6" xfId="624" xr:uid="{17731406-636B-4F15-84C3-E44F162ED29B}"/>
    <cellStyle name="Separador de milhares 101" xfId="156" xr:uid="{00000000-0005-0000-0000-00005A000000}"/>
    <cellStyle name="Separador de milhares 101 2" xfId="487" xr:uid="{2B342CF1-3464-4F96-9A00-DDB7A466FD49}"/>
    <cellStyle name="Separador de milhares 101 3" xfId="736" xr:uid="{531F5D40-DDE7-430F-816E-08094FA1EC65}"/>
    <cellStyle name="Separador de milhares 102" xfId="157" xr:uid="{00000000-0005-0000-0000-00005B000000}"/>
    <cellStyle name="Separador de milhares 102 2" xfId="488" xr:uid="{79D00FB4-6049-46B2-A1D2-7735DA550642}"/>
    <cellStyle name="Separador de milhares 102 3" xfId="737" xr:uid="{54F25118-F326-4215-B133-3702AFBF8AEB}"/>
    <cellStyle name="Separador de milhares 103" xfId="158" xr:uid="{00000000-0005-0000-0000-00005C000000}"/>
    <cellStyle name="Separador de milhares 103 2" xfId="489" xr:uid="{84F351E7-47A2-4FAC-B47E-EC52D5BCF449}"/>
    <cellStyle name="Separador de milhares 103 3" xfId="738" xr:uid="{5852C86E-0016-45C7-AD92-3F1414E369F3}"/>
    <cellStyle name="Separador de milhares 104" xfId="159" xr:uid="{00000000-0005-0000-0000-00005D000000}"/>
    <cellStyle name="Separador de milhares 104 2" xfId="490" xr:uid="{EE7FE5B1-1FC8-4F76-A96F-E12553605D71}"/>
    <cellStyle name="Separador de milhares 104 3" xfId="739" xr:uid="{4DA8C7E5-69DA-4885-8F17-1C89A0E2979C}"/>
    <cellStyle name="Separador de milhares 105" xfId="160" xr:uid="{00000000-0005-0000-0000-00005E000000}"/>
    <cellStyle name="Separador de milhares 105 2" xfId="491" xr:uid="{C2261014-716E-4DC4-AAE8-04CFF24BD470}"/>
    <cellStyle name="Separador de milhares 105 3" xfId="740" xr:uid="{8200CAB8-06D9-41B2-AE56-E4AF1EC5CA71}"/>
    <cellStyle name="Separador de milhares 106" xfId="161" xr:uid="{00000000-0005-0000-0000-00005F000000}"/>
    <cellStyle name="Separador de milhares 106 2" xfId="492" xr:uid="{6446BB02-23B0-464E-A957-E792A057C5E7}"/>
    <cellStyle name="Separador de milhares 106 3" xfId="741" xr:uid="{6D42290B-CBC1-4696-B734-B24DFD1330CA}"/>
    <cellStyle name="Separador de milhares 107" xfId="162" xr:uid="{00000000-0005-0000-0000-000060000000}"/>
    <cellStyle name="Separador de milhares 107 2" xfId="493" xr:uid="{273407CB-E2C2-4FFC-B327-7C80AD80CE7A}"/>
    <cellStyle name="Separador de milhares 107 3" xfId="742" xr:uid="{6629D292-30B9-4C76-A806-290475716C47}"/>
    <cellStyle name="Separador de milhares 108" xfId="163" xr:uid="{00000000-0005-0000-0000-000061000000}"/>
    <cellStyle name="Separador de milhares 108 2" xfId="494" xr:uid="{11C1535C-C8DC-45F3-8BFC-CE1C67C1F455}"/>
    <cellStyle name="Separador de milhares 108 3" xfId="743" xr:uid="{B283BE88-F718-43F4-9F85-C26CBD04D2BB}"/>
    <cellStyle name="Separador de milhares 109" xfId="164" xr:uid="{00000000-0005-0000-0000-000062000000}"/>
    <cellStyle name="Separador de milhares 109 2" xfId="495" xr:uid="{F6DC021E-7EE2-40AE-8B48-8518B665FE9D}"/>
    <cellStyle name="Separador de milhares 109 3" xfId="744" xr:uid="{1478D115-45AE-42E4-B536-3C52F75DF945}"/>
    <cellStyle name="Separador de milhares 11" xfId="6" xr:uid="{00000000-0005-0000-0000-000063000000}"/>
    <cellStyle name="Separador de milhares 11 10" xfId="335" xr:uid="{00000000-0005-0000-0000-000064000000}"/>
    <cellStyle name="Separador de milhares 11 10 2" xfId="606" xr:uid="{C4AE96D3-3374-494A-A38A-B4F1C2F640B8}"/>
    <cellStyle name="Separador de milhares 11 10 3" xfId="855" xr:uid="{A403DBBF-AEA3-42D7-A578-418E8440B913}"/>
    <cellStyle name="Separador de milhares 11 11" xfId="376" xr:uid="{E6EE6789-CE48-4DC2-91A8-1AA83E9C2305}"/>
    <cellStyle name="Separador de milhares 11 12" xfId="625" xr:uid="{8D3493A0-8FCC-433F-A30A-8B053C2417B5}"/>
    <cellStyle name="Separador de milhares 11 2" xfId="50" xr:uid="{00000000-0005-0000-0000-000065000000}"/>
    <cellStyle name="Separador de milhares 11 2 2" xfId="324" xr:uid="{00000000-0005-0000-0000-000066000000}"/>
    <cellStyle name="Separador de milhares 11 2 2 2" xfId="601" xr:uid="{AF350633-342B-4B39-89DE-D25750D1B25E}"/>
    <cellStyle name="Separador de milhares 11 2 2 3" xfId="850" xr:uid="{BBF7FC4E-638A-4CC9-BF6F-12CA55917E90}"/>
    <cellStyle name="Separador de milhares 11 2 3" xfId="272" xr:uid="{00000000-0005-0000-0000-000067000000}"/>
    <cellStyle name="Separador de milhares 11 2 3 2" xfId="558" xr:uid="{1CD90938-5DD1-47A5-92A0-8A8C68C8B66C}"/>
    <cellStyle name="Separador de milhares 11 2 3 3" xfId="807" xr:uid="{70A892BA-982B-43F8-B16B-396BA2668F26}"/>
    <cellStyle name="Separador de milhares 11 2 4" xfId="349" xr:uid="{00000000-0005-0000-0000-000068000000}"/>
    <cellStyle name="Separador de milhares 11 2 4 2" xfId="619" xr:uid="{E0548375-B300-45B8-8D3B-CDA8C21DF16C}"/>
    <cellStyle name="Separador de milhares 11 2 4 3" xfId="868" xr:uid="{CF6DBB58-F0D2-49C0-9FD1-4B58DE743633}"/>
    <cellStyle name="Separador de milhares 11 2 5" xfId="389" xr:uid="{8C0ECCC4-39D5-434F-9D14-3A830709E7CF}"/>
    <cellStyle name="Separador de milhares 11 2 6" xfId="638" xr:uid="{255AB74A-E49F-483E-9E7F-BD26BCDEA617}"/>
    <cellStyle name="Separador de milhares 11 3" xfId="45" xr:uid="{00000000-0005-0000-0000-000069000000}"/>
    <cellStyle name="Separador de milhares 11 3 2" xfId="322" xr:uid="{00000000-0005-0000-0000-00006A000000}"/>
    <cellStyle name="Separador de milhares 11 3 2 2" xfId="599" xr:uid="{5FC7E9C8-D907-4D59-B5FC-19E396F27DDF}"/>
    <cellStyle name="Separador de milhares 11 3 2 3" xfId="848" xr:uid="{FCEA8A4F-6D6A-4AAF-A1F4-81F8FFE601F5}"/>
    <cellStyle name="Separador de milhares 11 3 3" xfId="270" xr:uid="{00000000-0005-0000-0000-00006B000000}"/>
    <cellStyle name="Separador de milhares 11 3 3 2" xfId="556" xr:uid="{1461760E-BCB3-4C7C-AF17-E3AD086B0E6D}"/>
    <cellStyle name="Separador de milhares 11 3 3 3" xfId="805" xr:uid="{F1DDB07B-7EAD-4139-BC07-B6F0F5583C23}"/>
    <cellStyle name="Separador de milhares 11 3 4" xfId="347" xr:uid="{00000000-0005-0000-0000-00006C000000}"/>
    <cellStyle name="Separador de milhares 11 3 4 2" xfId="617" xr:uid="{4FA3391F-3BE9-474C-A792-BD8461F2FF53}"/>
    <cellStyle name="Separador de milhares 11 3 4 3" xfId="866" xr:uid="{5C9F629A-ACEA-4B00-B0E9-9DC63C8C3EC0}"/>
    <cellStyle name="Separador de milhares 11 3 5" xfId="387" xr:uid="{1482C6F6-CED1-4E46-A95C-41801B37C78C}"/>
    <cellStyle name="Separador de milhares 11 3 6" xfId="636" xr:uid="{24E90320-8525-458E-8711-AEDEDD960828}"/>
    <cellStyle name="Separador de milhares 11 4" xfId="267" xr:uid="{00000000-0005-0000-0000-00006D000000}"/>
    <cellStyle name="Separador de milhares 11 4 2" xfId="554" xr:uid="{030D0885-1F99-4A50-85D8-49E0C310188C}"/>
    <cellStyle name="Separador de milhares 11 4 3" xfId="803" xr:uid="{E3887845-EF12-4E8D-8656-83A9EEE9D67B}"/>
    <cellStyle name="Separador de milhares 11 5" xfId="304" xr:uid="{00000000-0005-0000-0000-00006E000000}"/>
    <cellStyle name="Separador de milhares 11 5 2" xfId="585" xr:uid="{7A8198B3-C435-46C4-A59E-39F3CA50BEE8}"/>
    <cellStyle name="Separador de milhares 11 5 3" xfId="834" xr:uid="{4273731C-1C3F-4EE1-AC22-97ED44B90A6B}"/>
    <cellStyle name="Separador de milhares 11 6" xfId="310" xr:uid="{00000000-0005-0000-0000-00006F000000}"/>
    <cellStyle name="Separador de milhares 11 6 2" xfId="588" xr:uid="{01CDCA55-B545-458F-893D-5A5C78BE83C5}"/>
    <cellStyle name="Separador de milhares 11 6 3" xfId="837" xr:uid="{2AE199A1-38C5-440A-9ACB-7DC1724640A2}"/>
    <cellStyle name="Separador de milhares 11 7" xfId="263" xr:uid="{00000000-0005-0000-0000-000070000000}"/>
    <cellStyle name="Separador de milhares 11 7 2" xfId="552" xr:uid="{8AC10DD6-AFB1-468B-B5CF-0AC88ABFD8ED}"/>
    <cellStyle name="Separador de milhares 11 7 3" xfId="801" xr:uid="{3550D377-41C9-43A1-A22C-C8CC2BCF3A74}"/>
    <cellStyle name="Separador de milhares 11 8" xfId="314" xr:uid="{00000000-0005-0000-0000-000071000000}"/>
    <cellStyle name="Separador de milhares 11 8 2" xfId="591" xr:uid="{EA529D8F-A29E-4D2C-9CB7-1C14D6767F9D}"/>
    <cellStyle name="Separador de milhares 11 8 3" xfId="840" xr:uid="{AFB69CE3-5667-4360-9DE8-5C0B2974D8D7}"/>
    <cellStyle name="Separador de milhares 11 9" xfId="60" xr:uid="{00000000-0005-0000-0000-000072000000}"/>
    <cellStyle name="Separador de milhares 11 9 2" xfId="395" xr:uid="{53769136-1A08-4133-992C-758B53FA7B75}"/>
    <cellStyle name="Separador de milhares 11 9 3" xfId="644" xr:uid="{AC410412-74B2-4CE4-A3CB-2F34A5BB037E}"/>
    <cellStyle name="Separador de milhares 110" xfId="165" xr:uid="{00000000-0005-0000-0000-000073000000}"/>
    <cellStyle name="Separador de milhares 110 2" xfId="496" xr:uid="{A977D1D7-B97B-494F-AB1B-1AF9FE0622DA}"/>
    <cellStyle name="Separador de milhares 110 3" xfId="745" xr:uid="{5A7CD36E-B1CC-4797-9D10-95C20FF18B17}"/>
    <cellStyle name="Separador de milhares 111" xfId="166" xr:uid="{00000000-0005-0000-0000-000074000000}"/>
    <cellStyle name="Separador de milhares 111 2" xfId="497" xr:uid="{0FC031DF-79D6-4054-8BD8-2BAC87693477}"/>
    <cellStyle name="Separador de milhares 111 3" xfId="746" xr:uid="{D2D63807-6CDF-458D-8978-D4608EE13EE6}"/>
    <cellStyle name="Separador de milhares 112" xfId="167" xr:uid="{00000000-0005-0000-0000-000075000000}"/>
    <cellStyle name="Separador de milhares 112 2" xfId="498" xr:uid="{92E0CA04-F384-41A6-B89E-5BC136E21ADA}"/>
    <cellStyle name="Separador de milhares 112 3" xfId="747" xr:uid="{71FBC3E1-801B-4C06-84AC-E57174629319}"/>
    <cellStyle name="Separador de milhares 113" xfId="168" xr:uid="{00000000-0005-0000-0000-000076000000}"/>
    <cellStyle name="Separador de milhares 113 2" xfId="499" xr:uid="{210A0302-056C-45F5-A62A-CEBCC93945E1}"/>
    <cellStyle name="Separador de milhares 113 3" xfId="748" xr:uid="{92DDE7D8-67EA-435E-A901-22E2FC8A417C}"/>
    <cellStyle name="Separador de milhares 114" xfId="169" xr:uid="{00000000-0005-0000-0000-000077000000}"/>
    <cellStyle name="Separador de milhares 114 2" xfId="500" xr:uid="{98FEFBD4-6685-41F8-A5AD-A20ED7F70DC0}"/>
    <cellStyle name="Separador de milhares 114 3" xfId="749" xr:uid="{DD435F85-CECD-4681-AD05-460C48B88CAA}"/>
    <cellStyle name="Separador de milhares 115" xfId="170" xr:uid="{00000000-0005-0000-0000-000078000000}"/>
    <cellStyle name="Separador de milhares 115 2" xfId="501" xr:uid="{C30A65CC-C593-4803-8C36-BE431ED8DE5E}"/>
    <cellStyle name="Separador de milhares 115 3" xfId="750" xr:uid="{B626DCBE-4F80-4981-B543-3BE9080BBBE0}"/>
    <cellStyle name="Separador de milhares 116" xfId="171" xr:uid="{00000000-0005-0000-0000-000079000000}"/>
    <cellStyle name="Separador de milhares 116 2" xfId="502" xr:uid="{93F3866E-F263-48E7-8431-475C422F7F5A}"/>
    <cellStyle name="Separador de milhares 116 3" xfId="751" xr:uid="{EFA51AB8-D632-4359-BCFA-C2891EDE3D69}"/>
    <cellStyle name="Separador de milhares 117" xfId="172" xr:uid="{00000000-0005-0000-0000-00007A000000}"/>
    <cellStyle name="Separador de milhares 117 2" xfId="503" xr:uid="{4836E077-9884-42B0-B5E3-4818DDC0739B}"/>
    <cellStyle name="Separador de milhares 117 3" xfId="752" xr:uid="{1BB9E1FC-D425-425A-B85D-EA795A7469B6}"/>
    <cellStyle name="Separador de milhares 118" xfId="173" xr:uid="{00000000-0005-0000-0000-00007B000000}"/>
    <cellStyle name="Separador de milhares 118 2" xfId="504" xr:uid="{29D06066-F8F1-405E-AD75-F824A727CB8F}"/>
    <cellStyle name="Separador de milhares 118 3" xfId="753" xr:uid="{2E75E27E-3F95-45BC-8010-FF1A2B3266E9}"/>
    <cellStyle name="Separador de milhares 119" xfId="174" xr:uid="{00000000-0005-0000-0000-00007C000000}"/>
    <cellStyle name="Separador de milhares 119 2" xfId="505" xr:uid="{0FD47DBC-862E-4448-AFC5-FD0893F1BBFD}"/>
    <cellStyle name="Separador de milhares 119 3" xfId="754" xr:uid="{B154AFEA-5FB7-433C-BC93-6D95F938AE91}"/>
    <cellStyle name="Separador de milhares 12" xfId="61" xr:uid="{00000000-0005-0000-0000-00007D000000}"/>
    <cellStyle name="Separador de milhares 12 2" xfId="396" xr:uid="{CD32470B-C1C7-47BB-AECB-AF0F96AD97E8}"/>
    <cellStyle name="Separador de milhares 12 3" xfId="645" xr:uid="{F41F5BCB-0C4F-4ADA-A068-7033A1ED5471}"/>
    <cellStyle name="Separador de milhares 120" xfId="175" xr:uid="{00000000-0005-0000-0000-00007E000000}"/>
    <cellStyle name="Separador de milhares 120 2" xfId="506" xr:uid="{84E34750-A17C-4D7F-AC80-3B8D007F572E}"/>
    <cellStyle name="Separador de milhares 120 3" xfId="755" xr:uid="{A36EC09F-FC30-44ED-A708-6C00C5B050F7}"/>
    <cellStyle name="Separador de milhares 121" xfId="176" xr:uid="{00000000-0005-0000-0000-00007F000000}"/>
    <cellStyle name="Separador de milhares 121 2" xfId="507" xr:uid="{D4C22AA7-F573-4576-9704-E048DE3D17CE}"/>
    <cellStyle name="Separador de milhares 121 3" xfId="756" xr:uid="{7679C85F-BE32-4D64-9260-9355D8F00284}"/>
    <cellStyle name="Separador de milhares 122" xfId="177" xr:uid="{00000000-0005-0000-0000-000080000000}"/>
    <cellStyle name="Separador de milhares 122 2" xfId="508" xr:uid="{D3451D09-5B88-4522-B3B3-33BC301B8F8E}"/>
    <cellStyle name="Separador de milhares 122 3" xfId="757" xr:uid="{914CB89D-3D7D-4CAE-9C9B-6FDA55F287D1}"/>
    <cellStyle name="Separador de milhares 123" xfId="178" xr:uid="{00000000-0005-0000-0000-000081000000}"/>
    <cellStyle name="Separador de milhares 123 2" xfId="509" xr:uid="{73E83BB8-FB4B-475C-BCC0-CF2B69D32B20}"/>
    <cellStyle name="Separador de milhares 123 3" xfId="758" xr:uid="{E82F2AB4-68EF-496C-9EE1-90F49C1CA537}"/>
    <cellStyle name="Separador de milhares 124" xfId="179" xr:uid="{00000000-0005-0000-0000-000082000000}"/>
    <cellStyle name="Separador de milhares 124 2" xfId="510" xr:uid="{D365BC09-88FD-4B3F-8747-5FBEC3148459}"/>
    <cellStyle name="Separador de milhares 124 3" xfId="759" xr:uid="{A73FE6C6-C830-4975-905B-290D504E11D2}"/>
    <cellStyle name="Separador de milhares 125" xfId="180" xr:uid="{00000000-0005-0000-0000-000083000000}"/>
    <cellStyle name="Separador de milhares 125 2" xfId="511" xr:uid="{A8DF8E3D-E7B2-462E-855A-0E110566F30B}"/>
    <cellStyle name="Separador de milhares 125 3" xfId="760" xr:uid="{270B73BC-431E-4CA4-9DFD-45957D5B6287}"/>
    <cellStyle name="Separador de milhares 13" xfId="62" xr:uid="{00000000-0005-0000-0000-000084000000}"/>
    <cellStyle name="Separador de milhares 13 2" xfId="397" xr:uid="{7AAADE7D-9DCB-4578-BE95-D329087CA81A}"/>
    <cellStyle name="Separador de milhares 13 3" xfId="646" xr:uid="{D2566A84-BF44-4CB3-847B-BF786BF5382B}"/>
    <cellStyle name="Separador de milhares 14" xfId="63" xr:uid="{00000000-0005-0000-0000-000085000000}"/>
    <cellStyle name="Separador de milhares 14 2" xfId="398" xr:uid="{8F04033D-FE59-4A76-B583-391CAC39FFAF}"/>
    <cellStyle name="Separador de milhares 14 3" xfId="647" xr:uid="{6473488F-DFE0-4887-B373-C0B7EAA7651F}"/>
    <cellStyle name="Separador de milhares 15" xfId="64" xr:uid="{00000000-0005-0000-0000-000086000000}"/>
    <cellStyle name="Separador de milhares 15 2" xfId="399" xr:uid="{927C6D2E-134E-4DEE-969D-9E0DB8E0AC98}"/>
    <cellStyle name="Separador de milhares 15 3" xfId="648" xr:uid="{C680097F-6BE0-4105-8F45-30A74F5AC1E6}"/>
    <cellStyle name="Separador de milhares 16" xfId="65" xr:uid="{00000000-0005-0000-0000-000087000000}"/>
    <cellStyle name="Separador de milhares 16 2" xfId="400" xr:uid="{AD8B2AA8-65F0-41DC-B3C2-FA80CF8A3503}"/>
    <cellStyle name="Separador de milhares 16 3" xfId="649" xr:uid="{3D924E66-CF36-487D-86C3-9AFCBE285849}"/>
    <cellStyle name="Separador de milhares 17" xfId="66" xr:uid="{00000000-0005-0000-0000-000088000000}"/>
    <cellStyle name="Separador de milhares 17 2" xfId="401" xr:uid="{3B7F51F4-1146-4189-909D-06F9DA18E0F0}"/>
    <cellStyle name="Separador de milhares 17 3" xfId="650" xr:uid="{BA900D11-9E3F-448B-9F70-7815E25A2607}"/>
    <cellStyle name="Separador de milhares 18" xfId="67" xr:uid="{00000000-0005-0000-0000-000089000000}"/>
    <cellStyle name="Separador de milhares 18 2" xfId="402" xr:uid="{57237526-71AA-4303-9B01-93626917B074}"/>
    <cellStyle name="Separador de milhares 18 3" xfId="651" xr:uid="{6DAD4BB9-B7F5-429F-8CCA-12659128A435}"/>
    <cellStyle name="Separador de milhares 19" xfId="68" xr:uid="{00000000-0005-0000-0000-00008A000000}"/>
    <cellStyle name="Separador de milhares 19 2" xfId="403" xr:uid="{532C149C-2362-4ED1-8DFE-67CD2BF984ED}"/>
    <cellStyle name="Separador de milhares 19 3" xfId="652" xr:uid="{DC79A2EC-625A-49E0-BCFF-36068048B16D}"/>
    <cellStyle name="Separador de milhares 2" xfId="16" xr:uid="{00000000-0005-0000-0000-00008B000000}"/>
    <cellStyle name="Separador de milhares 2 10" xfId="17" xr:uid="{00000000-0005-0000-0000-00008C000000}"/>
    <cellStyle name="Separador de milhares 2 10 2" xfId="231" xr:uid="{00000000-0005-0000-0000-00008D000000}"/>
    <cellStyle name="Separador de milhares 2 10 3" xfId="280" xr:uid="{00000000-0005-0000-0000-00008E000000}"/>
    <cellStyle name="Separador de milhares 2 10 3 2" xfId="565" xr:uid="{3DFE27E4-B670-4DC7-8C58-188CCC1EFF62}"/>
    <cellStyle name="Separador de milhares 2 10 3 3" xfId="814" xr:uid="{F4DC0311-B2C9-4173-A627-079C23E18790}"/>
    <cellStyle name="Separador de milhares 2 10 4" xfId="70" xr:uid="{00000000-0005-0000-0000-00008F000000}"/>
    <cellStyle name="Separador de milhares 2 10 4 2" xfId="405" xr:uid="{4D11DB6C-874A-436C-891B-D91ED28DD924}"/>
    <cellStyle name="Separador de milhares 2 10 4 3" xfId="654" xr:uid="{0672AA39-5569-4ECD-86AC-49036E4E4DBD}"/>
    <cellStyle name="Separador de milhares 2 11" xfId="18" xr:uid="{00000000-0005-0000-0000-000090000000}"/>
    <cellStyle name="Separador de milhares 2 11 2" xfId="230" xr:uid="{00000000-0005-0000-0000-000091000000}"/>
    <cellStyle name="Separador de milhares 2 11 3" xfId="281" xr:uid="{00000000-0005-0000-0000-000092000000}"/>
    <cellStyle name="Separador de milhares 2 11 3 2" xfId="566" xr:uid="{697E5000-4094-4834-9720-1C7D1D39EBF3}"/>
    <cellStyle name="Separador de milhares 2 11 3 3" xfId="815" xr:uid="{512CA2A6-FEA4-41F9-923B-25712F862F73}"/>
    <cellStyle name="Separador de milhares 2 11 4" xfId="71" xr:uid="{00000000-0005-0000-0000-000093000000}"/>
    <cellStyle name="Separador de milhares 2 11 4 2" xfId="406" xr:uid="{ED2F1FF5-A9B1-4A86-9973-FE56FAD99F4E}"/>
    <cellStyle name="Separador de milhares 2 11 4 3" xfId="655" xr:uid="{D7CDB1FB-578A-4B26-9256-0463F62F5866}"/>
    <cellStyle name="Separador de milhares 2 12" xfId="19" xr:uid="{00000000-0005-0000-0000-000094000000}"/>
    <cellStyle name="Separador de milhares 2 12 2" xfId="229" xr:uid="{00000000-0005-0000-0000-000095000000}"/>
    <cellStyle name="Separador de milhares 2 12 3" xfId="282" xr:uid="{00000000-0005-0000-0000-000096000000}"/>
    <cellStyle name="Separador de milhares 2 12 3 2" xfId="567" xr:uid="{F86D739B-FF42-4AD8-A704-67B28C5E979A}"/>
    <cellStyle name="Separador de milhares 2 12 3 3" xfId="816" xr:uid="{C861576A-8CF8-41C5-8025-AE758FF12962}"/>
    <cellStyle name="Separador de milhares 2 12 4" xfId="72" xr:uid="{00000000-0005-0000-0000-000097000000}"/>
    <cellStyle name="Separador de milhares 2 12 4 2" xfId="407" xr:uid="{6CEA417E-ECB6-47BA-AAEB-DA9F6E7FF2E4}"/>
    <cellStyle name="Separador de milhares 2 12 4 3" xfId="656" xr:uid="{678367D2-34B2-4FF0-AE1E-4377BDEFA1A0}"/>
    <cellStyle name="Separador de milhares 2 13" xfId="20" xr:uid="{00000000-0005-0000-0000-000098000000}"/>
    <cellStyle name="Separador de milhares 2 13 2" xfId="228" xr:uid="{00000000-0005-0000-0000-000099000000}"/>
    <cellStyle name="Separador de milhares 2 13 3" xfId="283" xr:uid="{00000000-0005-0000-0000-00009A000000}"/>
    <cellStyle name="Separador de milhares 2 13 3 2" xfId="568" xr:uid="{D4EC76CD-EBC5-4D62-88BB-F9E060395955}"/>
    <cellStyle name="Separador de milhares 2 13 3 3" xfId="817" xr:uid="{40BC8A9D-2FC0-4FFF-BA86-BB28597D7FEC}"/>
    <cellStyle name="Separador de milhares 2 13 4" xfId="73" xr:uid="{00000000-0005-0000-0000-00009B000000}"/>
    <cellStyle name="Separador de milhares 2 13 4 2" xfId="408" xr:uid="{A6F2F444-F3E1-40E5-A0C8-512CA758EB6D}"/>
    <cellStyle name="Separador de milhares 2 13 4 3" xfId="657" xr:uid="{D9EC21B6-EC26-4CA2-92F7-88AD7D7E3073}"/>
    <cellStyle name="Separador de milhares 2 14" xfId="21" xr:uid="{00000000-0005-0000-0000-00009C000000}"/>
    <cellStyle name="Separador de milhares 2 14 2" xfId="227" xr:uid="{00000000-0005-0000-0000-00009D000000}"/>
    <cellStyle name="Separador de milhares 2 14 3" xfId="284" xr:uid="{00000000-0005-0000-0000-00009E000000}"/>
    <cellStyle name="Separador de milhares 2 14 3 2" xfId="569" xr:uid="{FACD0D41-82AF-41D1-930F-15E352CC6EE1}"/>
    <cellStyle name="Separador de milhares 2 14 3 3" xfId="818" xr:uid="{611D5C8A-FA93-4C60-924C-0D162E729970}"/>
    <cellStyle name="Separador de milhares 2 14 4" xfId="74" xr:uid="{00000000-0005-0000-0000-00009F000000}"/>
    <cellStyle name="Separador de milhares 2 14 4 2" xfId="409" xr:uid="{031CB380-156F-4A08-B4D5-19444A706E22}"/>
    <cellStyle name="Separador de milhares 2 14 4 3" xfId="658" xr:uid="{2F6B0A5D-03FA-4A03-8190-720676513C13}"/>
    <cellStyle name="Separador de milhares 2 15" xfId="22" xr:uid="{00000000-0005-0000-0000-0000A0000000}"/>
    <cellStyle name="Separador de milhares 2 15 2" xfId="226" xr:uid="{00000000-0005-0000-0000-0000A1000000}"/>
    <cellStyle name="Separador de milhares 2 15 3" xfId="285" xr:uid="{00000000-0005-0000-0000-0000A2000000}"/>
    <cellStyle name="Separador de milhares 2 15 3 2" xfId="570" xr:uid="{328DE7C4-418B-4358-8FBB-0FFDFDCC4017}"/>
    <cellStyle name="Separador de milhares 2 15 3 3" xfId="819" xr:uid="{7CEA3ABE-F510-41F2-B9AE-C62EE2F0A788}"/>
    <cellStyle name="Separador de milhares 2 15 4" xfId="75" xr:uid="{00000000-0005-0000-0000-0000A3000000}"/>
    <cellStyle name="Separador de milhares 2 15 4 2" xfId="410" xr:uid="{54F4BDF0-C015-4CE8-9930-96BCA9991C90}"/>
    <cellStyle name="Separador de milhares 2 15 4 3" xfId="659" xr:uid="{E7810C40-30EF-4F0A-84FB-A02CB8B024D7}"/>
    <cellStyle name="Separador de milhares 2 16" xfId="23" xr:uid="{00000000-0005-0000-0000-0000A4000000}"/>
    <cellStyle name="Separador de milhares 2 16 2" xfId="225" xr:uid="{00000000-0005-0000-0000-0000A5000000}"/>
    <cellStyle name="Separador de milhares 2 16 3" xfId="286" xr:uid="{00000000-0005-0000-0000-0000A6000000}"/>
    <cellStyle name="Separador de milhares 2 16 3 2" xfId="571" xr:uid="{E62B0752-A96A-4CEC-963A-92CD439BBBA9}"/>
    <cellStyle name="Separador de milhares 2 16 3 3" xfId="820" xr:uid="{78416F21-BEBC-4A61-94DA-3E9D7C237740}"/>
    <cellStyle name="Separador de milhares 2 16 4" xfId="76" xr:uid="{00000000-0005-0000-0000-0000A7000000}"/>
    <cellStyle name="Separador de milhares 2 16 4 2" xfId="411" xr:uid="{7721E548-3B74-4F8F-AB2E-3DBD2084F801}"/>
    <cellStyle name="Separador de milhares 2 16 4 3" xfId="660" xr:uid="{433F8524-8567-4EF0-98F6-DC011110D2BA}"/>
    <cellStyle name="Separador de milhares 2 17" xfId="24" xr:uid="{00000000-0005-0000-0000-0000A8000000}"/>
    <cellStyle name="Separador de milhares 2 17 2" xfId="224" xr:uid="{00000000-0005-0000-0000-0000A9000000}"/>
    <cellStyle name="Separador de milhares 2 17 3" xfId="287" xr:uid="{00000000-0005-0000-0000-0000AA000000}"/>
    <cellStyle name="Separador de milhares 2 17 3 2" xfId="572" xr:uid="{1D4DA6DF-850E-4287-A609-21380E8BE36F}"/>
    <cellStyle name="Separador de milhares 2 17 3 3" xfId="821" xr:uid="{06407A0B-47D3-4A89-855F-088D9D3321E9}"/>
    <cellStyle name="Separador de milhares 2 17 4" xfId="77" xr:uid="{00000000-0005-0000-0000-0000AB000000}"/>
    <cellStyle name="Separador de milhares 2 17 4 2" xfId="412" xr:uid="{9009DEFA-304C-4F0C-9A77-66CEBA679260}"/>
    <cellStyle name="Separador de milhares 2 17 4 3" xfId="661" xr:uid="{5BDFA74B-BDBA-4768-B06A-370CE85C4F9E}"/>
    <cellStyle name="Separador de milhares 2 18" xfId="25" xr:uid="{00000000-0005-0000-0000-0000AC000000}"/>
    <cellStyle name="Separador de milhares 2 18 2" xfId="223" xr:uid="{00000000-0005-0000-0000-0000AD000000}"/>
    <cellStyle name="Separador de milhares 2 18 3" xfId="277" xr:uid="{00000000-0005-0000-0000-0000AE000000}"/>
    <cellStyle name="Separador de milhares 2 18 3 2" xfId="562" xr:uid="{580368DC-5738-4CB4-8DC6-34AE12A6EC9B}"/>
    <cellStyle name="Separador de milhares 2 18 3 3" xfId="811" xr:uid="{229AE0BE-8763-4E17-92BE-E5FA2B0A66F1}"/>
    <cellStyle name="Separador de milhares 2 18 4" xfId="78" xr:uid="{00000000-0005-0000-0000-0000AF000000}"/>
    <cellStyle name="Separador de milhares 2 18 4 2" xfId="413" xr:uid="{EEDE2247-B40C-415D-B305-9AAE919AE972}"/>
    <cellStyle name="Separador de milhares 2 18 4 3" xfId="662" xr:uid="{3FB34969-270A-453D-983F-A480B423C1BA}"/>
    <cellStyle name="Separador de milhares 2 19" xfId="26" xr:uid="{00000000-0005-0000-0000-0000B0000000}"/>
    <cellStyle name="Separador de milhares 2 19 2" xfId="222" xr:uid="{00000000-0005-0000-0000-0000B1000000}"/>
    <cellStyle name="Separador de milhares 2 19 3" xfId="274" xr:uid="{00000000-0005-0000-0000-0000B2000000}"/>
    <cellStyle name="Separador de milhares 2 19 3 2" xfId="559" xr:uid="{F1673A26-623F-4DC7-A1A8-169CF388E7FE}"/>
    <cellStyle name="Separador de milhares 2 19 3 3" xfId="808" xr:uid="{B61B2B92-A789-4A5B-ABB0-461D17242466}"/>
    <cellStyle name="Separador de milhares 2 19 4" xfId="79" xr:uid="{00000000-0005-0000-0000-0000B3000000}"/>
    <cellStyle name="Separador de milhares 2 19 4 2" xfId="414" xr:uid="{D85B437B-2F9C-49BA-90FE-39CA329D24ED}"/>
    <cellStyle name="Separador de milhares 2 19 4 3" xfId="663" xr:uid="{008845D1-E385-4D4C-9801-DE02C33CF0E4}"/>
    <cellStyle name="Separador de milhares 2 2" xfId="27" xr:uid="{00000000-0005-0000-0000-0000B4000000}"/>
    <cellStyle name="Separador de milhares 2 2 2" xfId="248" xr:uid="{00000000-0005-0000-0000-0000B5000000}"/>
    <cellStyle name="Separador de milhares 2 2 2 2" xfId="250" xr:uid="{00000000-0005-0000-0000-0000B6000000}"/>
    <cellStyle name="Separador de milhares 2 2 2 2 2" xfId="549" xr:uid="{710E1187-69F7-44CC-9EFF-860AE83BB5C3}"/>
    <cellStyle name="Separador de milhares 2 2 2 2 3" xfId="798" xr:uid="{2CE42084-6F1F-4FFC-9109-EC83AD898799}"/>
    <cellStyle name="Separador de milhares 2 2 2 3" xfId="548" xr:uid="{32990F09-5F04-4BC4-A001-FB94767FFF44}"/>
    <cellStyle name="Separador de milhares 2 2 2 4" xfId="797" xr:uid="{5959511D-55EA-4638-BBC6-9603555E4BF0}"/>
    <cellStyle name="Separador de milhares 2 2 3" xfId="80" xr:uid="{00000000-0005-0000-0000-0000B7000000}"/>
    <cellStyle name="Separador de milhares 2 2 3 2" xfId="415" xr:uid="{98E83A7D-B9AB-48BC-B1D4-4676D7225E8A}"/>
    <cellStyle name="Separador de milhares 2 2 3 3" xfId="664" xr:uid="{5D8D139A-837F-4CEE-88BE-09156FAC04B6}"/>
    <cellStyle name="Separador de milhares 2 2 4" xfId="340" xr:uid="{00000000-0005-0000-0000-0000B8000000}"/>
    <cellStyle name="Separador de milhares 2 2 4 2" xfId="611" xr:uid="{0E83F9B9-AC23-458A-830F-5AC2AE3A2E9C}"/>
    <cellStyle name="Separador de milhares 2 2 4 3" xfId="860" xr:uid="{EA3EAE36-4470-471B-BA74-66303A6CEA0F}"/>
    <cellStyle name="Separador de milhares 2 2 5" xfId="381" xr:uid="{8A2E1626-299D-442F-B538-91599D2CFC1A}"/>
    <cellStyle name="Separador de milhares 2 2 6" xfId="630" xr:uid="{8C1EBD97-1563-43EA-9DD8-0BE6811933FF}"/>
    <cellStyle name="Separador de milhares 2 20" xfId="28" xr:uid="{00000000-0005-0000-0000-0000B9000000}"/>
    <cellStyle name="Separador de milhares 2 20 2" xfId="221" xr:uid="{00000000-0005-0000-0000-0000BA000000}"/>
    <cellStyle name="Separador de milhares 2 20 3" xfId="291" xr:uid="{00000000-0005-0000-0000-0000BB000000}"/>
    <cellStyle name="Separador de milhares 2 20 3 2" xfId="576" xr:uid="{E5DE9B66-ED48-4CC9-8E4F-886E184E82CE}"/>
    <cellStyle name="Separador de milhares 2 20 3 3" xfId="825" xr:uid="{49210297-6B8F-409E-8013-41C70F6424EC}"/>
    <cellStyle name="Separador de milhares 2 20 4" xfId="81" xr:uid="{00000000-0005-0000-0000-0000BC000000}"/>
    <cellStyle name="Separador de milhares 2 20 4 2" xfId="416" xr:uid="{D3877711-BE85-4706-B00B-F2BCCB04C7E6}"/>
    <cellStyle name="Separador de milhares 2 20 4 3" xfId="665" xr:uid="{21191331-9BE5-4F29-8527-36CB6D47F5AA}"/>
    <cellStyle name="Separador de milhares 2 21" xfId="29" xr:uid="{00000000-0005-0000-0000-0000BD000000}"/>
    <cellStyle name="Separador de milhares 2 21 2" xfId="220" xr:uid="{00000000-0005-0000-0000-0000BE000000}"/>
    <cellStyle name="Separador de milhares 2 21 3" xfId="292" xr:uid="{00000000-0005-0000-0000-0000BF000000}"/>
    <cellStyle name="Separador de milhares 2 21 3 2" xfId="577" xr:uid="{1BDE4A02-C932-4104-9822-F3AB82D28342}"/>
    <cellStyle name="Separador de milhares 2 21 3 3" xfId="826" xr:uid="{FEB42D31-A7DD-49FD-8303-514ECEA2D871}"/>
    <cellStyle name="Separador de milhares 2 21 4" xfId="82" xr:uid="{00000000-0005-0000-0000-0000C0000000}"/>
    <cellStyle name="Separador de milhares 2 21 4 2" xfId="417" xr:uid="{ED74F537-F0C7-4613-9AE2-2A9D7F213CE9}"/>
    <cellStyle name="Separador de milhares 2 21 4 3" xfId="666" xr:uid="{09CE780A-C9DF-473A-B514-B942323AD637}"/>
    <cellStyle name="Separador de milhares 2 22" xfId="83" xr:uid="{00000000-0005-0000-0000-0000C1000000}"/>
    <cellStyle name="Separador de milhares 2 22 2" xfId="275" xr:uid="{00000000-0005-0000-0000-0000C2000000}"/>
    <cellStyle name="Separador de milhares 2 22 2 2" xfId="560" xr:uid="{EA99BC1C-F967-4C2F-A346-8A80E5209E9A}"/>
    <cellStyle name="Separador de milhares 2 22 2 3" xfId="809" xr:uid="{809F1CFD-BF08-4D43-B08D-FFEB92D761DC}"/>
    <cellStyle name="Separador de milhares 2 22 3" xfId="303" xr:uid="{00000000-0005-0000-0000-0000C3000000}"/>
    <cellStyle name="Separador de milhares 2 22 3 2" xfId="584" xr:uid="{6476562D-3067-49D9-A932-6CBBD37FBE9B}"/>
    <cellStyle name="Separador de milhares 2 22 3 3" xfId="833" xr:uid="{D5083CDD-475F-4F62-AAA4-71FEA87598DD}"/>
    <cellStyle name="Separador de milhares 2 22 4" xfId="311" xr:uid="{00000000-0005-0000-0000-0000C4000000}"/>
    <cellStyle name="Separador de milhares 2 22 4 2" xfId="589" xr:uid="{077A14A7-B355-4D92-B153-135A0867EE9D}"/>
    <cellStyle name="Separador de milhares 2 22 4 3" xfId="838" xr:uid="{DDFDC44E-95BC-4A39-9E41-0B78A8188467}"/>
    <cellStyle name="Separador de milhares 2 22 5" xfId="261" xr:uid="{00000000-0005-0000-0000-0000C5000000}"/>
    <cellStyle name="Separador de milhares 2 22 5 2" xfId="551" xr:uid="{1658D982-ABA6-4D8C-ADA4-5E54D1AAF3E9}"/>
    <cellStyle name="Separador de milhares 2 22 5 3" xfId="800" xr:uid="{F96C8922-321F-4954-9C60-90F0DC8BC2F4}"/>
    <cellStyle name="Separador de milhares 2 22 6" xfId="418" xr:uid="{643833EC-32B0-4460-8468-B7068648AE7D}"/>
    <cellStyle name="Separador de milhares 2 22 7" xfId="667" xr:uid="{A88C55B4-2136-4444-8CDF-96E5F67734FF}"/>
    <cellStyle name="Separador de milhares 2 23" xfId="84" xr:uid="{00000000-0005-0000-0000-0000C6000000}"/>
    <cellStyle name="Separador de milhares 2 23 2" xfId="419" xr:uid="{684ECFD3-51C9-4ECE-B671-5EBEAF19457A}"/>
    <cellStyle name="Separador de milhares 2 23 3" xfId="668" xr:uid="{EE908FF7-8AC4-4359-93A7-A12CEBCFF6FA}"/>
    <cellStyle name="Separador de milhares 2 24" xfId="85" xr:uid="{00000000-0005-0000-0000-0000C7000000}"/>
    <cellStyle name="Separador de milhares 2 24 2" xfId="420" xr:uid="{B86760C8-1DC4-4457-BD15-0A0698EBFB3F}"/>
    <cellStyle name="Separador de milhares 2 24 3" xfId="669" xr:uid="{788DA7DE-634F-4129-9759-6F3CC017E121}"/>
    <cellStyle name="Separador de milhares 2 25" xfId="246" xr:uid="{00000000-0005-0000-0000-0000C8000000}"/>
    <cellStyle name="Separador de milhares 2 25 2" xfId="547" xr:uid="{3740CA2A-0503-4C74-92FA-8ED5B7029217}"/>
    <cellStyle name="Separador de milhares 2 25 3" xfId="796" xr:uid="{DA6BD9CC-73C5-44D9-8DB6-0A86733861A9}"/>
    <cellStyle name="Separador de milhares 2 26" xfId="279" xr:uid="{00000000-0005-0000-0000-0000C9000000}"/>
    <cellStyle name="Separador de milhares 2 26 2" xfId="564" xr:uid="{66914C2B-A17F-49D5-9556-44DABB0C5F44}"/>
    <cellStyle name="Separador de milhares 2 26 3" xfId="813" xr:uid="{EEABFDBF-7A7B-4EEF-8910-DFC040793D45}"/>
    <cellStyle name="Separador de milhares 2 27" xfId="69" xr:uid="{00000000-0005-0000-0000-0000CA000000}"/>
    <cellStyle name="Separador de milhares 2 27 2" xfId="404" xr:uid="{D58C44C0-9A52-4DAD-B04E-B2A2E07F223F}"/>
    <cellStyle name="Separador de milhares 2 27 3" xfId="653" xr:uid="{29858034-FCB8-4808-8F48-2B073567AAA5}"/>
    <cellStyle name="Separador de milhares 2 28" xfId="339" xr:uid="{00000000-0005-0000-0000-0000CB000000}"/>
    <cellStyle name="Separador de milhares 2 28 2" xfId="610" xr:uid="{FCDA36C3-42F1-4F0A-80F0-C0BBDDCD29D0}"/>
    <cellStyle name="Separador de milhares 2 28 3" xfId="859" xr:uid="{2D6D53FA-33CA-4063-9D63-B956C39F53A7}"/>
    <cellStyle name="Separador de milhares 2 29" xfId="380" xr:uid="{8CF90585-2B08-4ECF-8FF8-47FDC8148231}"/>
    <cellStyle name="Separador de milhares 2 3" xfId="30" xr:uid="{00000000-0005-0000-0000-0000CC000000}"/>
    <cellStyle name="Separador de milhares 2 3 2" xfId="317" xr:uid="{00000000-0005-0000-0000-0000CD000000}"/>
    <cellStyle name="Separador de milhares 2 3 2 2" xfId="594" xr:uid="{15D7EB2C-1C94-4BCC-BE14-AB1956F0C751}"/>
    <cellStyle name="Separador de milhares 2 3 2 3" xfId="843" xr:uid="{4AB8768C-2C04-4C1D-943A-02BA2CD360DF}"/>
    <cellStyle name="Separador de milhares 2 3 3" xfId="86" xr:uid="{00000000-0005-0000-0000-0000CE000000}"/>
    <cellStyle name="Separador de milhares 2 3 3 2" xfId="421" xr:uid="{C3AB9B6A-1142-4B06-9FC2-E3FB3690FC89}"/>
    <cellStyle name="Separador de milhares 2 3 3 3" xfId="670" xr:uid="{02DC1AD7-A85D-4597-9FD6-1B2D530C44E9}"/>
    <cellStyle name="Separador de milhares 2 3 4" xfId="341" xr:uid="{00000000-0005-0000-0000-0000CF000000}"/>
    <cellStyle name="Separador de milhares 2 3 4 2" xfId="612" xr:uid="{C6DF25E7-EADE-4271-B712-3EC5306C2D51}"/>
    <cellStyle name="Separador de milhares 2 3 4 3" xfId="861" xr:uid="{3B285E77-7742-45DD-8EA0-F69F3FEAAA91}"/>
    <cellStyle name="Separador de milhares 2 3 5" xfId="382" xr:uid="{1302EE21-EED4-4B40-B84F-AB3749D3C71B}"/>
    <cellStyle name="Separador de milhares 2 3 6" xfId="631" xr:uid="{0EEA206D-4E96-4E67-9570-FD5FB0253A08}"/>
    <cellStyle name="Separador de milhares 2 30" xfId="629" xr:uid="{A44418CF-3928-4028-BA4D-2652172D9BB1}"/>
    <cellStyle name="Separador de milhares 2 4" xfId="31" xr:uid="{00000000-0005-0000-0000-0000D0000000}"/>
    <cellStyle name="Separador de milhares 2 4 2" xfId="318" xr:uid="{00000000-0005-0000-0000-0000D1000000}"/>
    <cellStyle name="Separador de milhares 2 4 2 2" xfId="595" xr:uid="{53767AB2-ECAC-445C-B147-91E68A1E6F32}"/>
    <cellStyle name="Separador de milhares 2 4 2 3" xfId="844" xr:uid="{DB5C1291-0506-4D75-99C5-2D7700DFBEBC}"/>
    <cellStyle name="Separador de milhares 2 4 3" xfId="87" xr:uid="{00000000-0005-0000-0000-0000D2000000}"/>
    <cellStyle name="Separador de milhares 2 4 3 2" xfId="422" xr:uid="{791F877E-FB1D-45D9-BC1B-59B9CB95575A}"/>
    <cellStyle name="Separador de milhares 2 4 3 3" xfId="671" xr:uid="{8A18802A-9A64-4905-B582-7086C0FFD77D}"/>
    <cellStyle name="Separador de milhares 2 4 4" xfId="342" xr:uid="{00000000-0005-0000-0000-0000D3000000}"/>
    <cellStyle name="Separador de milhares 2 4 4 2" xfId="613" xr:uid="{B78AE086-AA24-4B5A-BAE3-C0EB2386BDFC}"/>
    <cellStyle name="Separador de milhares 2 4 4 3" xfId="862" xr:uid="{D77A62B1-85F3-433A-90E3-CA50C3F3F74D}"/>
    <cellStyle name="Separador de milhares 2 4 5" xfId="383" xr:uid="{59F8D188-9AC5-4BA7-9E36-25AE89D93C58}"/>
    <cellStyle name="Separador de milhares 2 4 6" xfId="632" xr:uid="{D6643A26-AFD8-454C-B5D1-82C8CF747007}"/>
    <cellStyle name="Separador de milhares 2 5" xfId="32" xr:uid="{00000000-0005-0000-0000-0000D4000000}"/>
    <cellStyle name="Separador de milhares 2 5 2" xfId="319" xr:uid="{00000000-0005-0000-0000-0000D5000000}"/>
    <cellStyle name="Separador de milhares 2 5 2 2" xfId="596" xr:uid="{CEEA4D0E-108A-4178-AC64-CB1778E5A2A0}"/>
    <cellStyle name="Separador de milhares 2 5 2 3" xfId="845" xr:uid="{A7F4D19A-DA60-4652-8195-38B68C46F014}"/>
    <cellStyle name="Separador de milhares 2 5 3" xfId="88" xr:uid="{00000000-0005-0000-0000-0000D6000000}"/>
    <cellStyle name="Separador de milhares 2 5 3 2" xfId="423" xr:uid="{50ACD6A9-ECD6-419A-A31F-89DB22FFA463}"/>
    <cellStyle name="Separador de milhares 2 5 3 3" xfId="672" xr:uid="{E1A38CC6-6186-4129-80A2-945F31311A8D}"/>
    <cellStyle name="Separador de milhares 2 5 4" xfId="343" xr:uid="{00000000-0005-0000-0000-0000D7000000}"/>
    <cellStyle name="Separador de milhares 2 5 4 2" xfId="614" xr:uid="{3B83C75E-CE7E-4FBA-AE93-FDA080A95BF1}"/>
    <cellStyle name="Separador de milhares 2 5 4 3" xfId="863" xr:uid="{9F7858D5-E89D-4C95-AF02-AD13CB66A378}"/>
    <cellStyle name="Separador de milhares 2 5 5" xfId="384" xr:uid="{471A862D-1D61-4D02-9100-86943B6034A7}"/>
    <cellStyle name="Separador de milhares 2 5 6" xfId="633" xr:uid="{DD3C13FE-A379-465D-A8ED-A951C044BD27}"/>
    <cellStyle name="Separador de milhares 2 6" xfId="33" xr:uid="{00000000-0005-0000-0000-0000D8000000}"/>
    <cellStyle name="Separador de milhares 2 6 2" xfId="219" xr:uid="{00000000-0005-0000-0000-0000D9000000}"/>
    <cellStyle name="Separador de milhares 2 6 3" xfId="278" xr:uid="{00000000-0005-0000-0000-0000DA000000}"/>
    <cellStyle name="Separador de milhares 2 6 3 2" xfId="563" xr:uid="{C03BF703-222B-4A8F-9BC2-0839B90048FD}"/>
    <cellStyle name="Separador de milhares 2 6 3 3" xfId="812" xr:uid="{DD40784F-F2C5-4550-9EC0-61384526F967}"/>
    <cellStyle name="Separador de milhares 2 6 4" xfId="89" xr:uid="{00000000-0005-0000-0000-0000DB000000}"/>
    <cellStyle name="Separador de milhares 2 6 4 2" xfId="424" xr:uid="{AA91836D-1557-4A89-8286-6BE5F1F30D1E}"/>
    <cellStyle name="Separador de milhares 2 6 4 3" xfId="673" xr:uid="{7E774BA3-A2B4-4D1A-889E-DD54D0E8271F}"/>
    <cellStyle name="Separador de milhares 2 7" xfId="34" xr:uid="{00000000-0005-0000-0000-0000DC000000}"/>
    <cellStyle name="Separador de milhares 2 7 2" xfId="218" xr:uid="{00000000-0005-0000-0000-0000DD000000}"/>
    <cellStyle name="Separador de milhares 2 7 3" xfId="276" xr:uid="{00000000-0005-0000-0000-0000DE000000}"/>
    <cellStyle name="Separador de milhares 2 7 3 2" xfId="561" xr:uid="{0903C1F0-40A4-4C65-AF0E-F6EC47302FC3}"/>
    <cellStyle name="Separador de milhares 2 7 3 3" xfId="810" xr:uid="{3CBC9FDC-AC40-41CB-A783-235C20135FF4}"/>
    <cellStyle name="Separador de milhares 2 7 4" xfId="90" xr:uid="{00000000-0005-0000-0000-0000DF000000}"/>
    <cellStyle name="Separador de milhares 2 7 4 2" xfId="425" xr:uid="{F8C6E256-FAAB-458A-8309-6404D359FF6A}"/>
    <cellStyle name="Separador de milhares 2 7 4 3" xfId="674" xr:uid="{B2343930-3817-4A0A-A72F-8D6B0ABB2DFC}"/>
    <cellStyle name="Separador de milhares 2 8" xfId="35" xr:uid="{00000000-0005-0000-0000-0000E0000000}"/>
    <cellStyle name="Separador de milhares 2 8 2" xfId="217" xr:uid="{00000000-0005-0000-0000-0000E1000000}"/>
    <cellStyle name="Separador de milhares 2 8 3" xfId="288" xr:uid="{00000000-0005-0000-0000-0000E2000000}"/>
    <cellStyle name="Separador de milhares 2 8 3 2" xfId="573" xr:uid="{2913BC2C-461C-4907-B273-C7055FAC5840}"/>
    <cellStyle name="Separador de milhares 2 8 3 3" xfId="822" xr:uid="{D6F876D0-93A5-4F12-B8F3-9CFA2506C296}"/>
    <cellStyle name="Separador de milhares 2 8 4" xfId="91" xr:uid="{00000000-0005-0000-0000-0000E3000000}"/>
    <cellStyle name="Separador de milhares 2 8 4 2" xfId="426" xr:uid="{0AD5FCE7-4EEF-4E3D-B924-AA73DBC3B8A8}"/>
    <cellStyle name="Separador de milhares 2 8 4 3" xfId="675" xr:uid="{0687D76E-A9DD-4BC1-B639-8B04E328C3C8}"/>
    <cellStyle name="Separador de milhares 2 9" xfId="36" xr:uid="{00000000-0005-0000-0000-0000E4000000}"/>
    <cellStyle name="Separador de milhares 2 9 2" xfId="216" xr:uid="{00000000-0005-0000-0000-0000E5000000}"/>
    <cellStyle name="Separador de milhares 2 9 3" xfId="289" xr:uid="{00000000-0005-0000-0000-0000E6000000}"/>
    <cellStyle name="Separador de milhares 2 9 3 2" xfId="574" xr:uid="{E339B2B0-643F-4E22-AF05-8F1920D4DD89}"/>
    <cellStyle name="Separador de milhares 2 9 3 3" xfId="823" xr:uid="{78AC1988-CBF7-4F0C-A300-643D2B68D4A3}"/>
    <cellStyle name="Separador de milhares 2 9 4" xfId="92" xr:uid="{00000000-0005-0000-0000-0000E7000000}"/>
    <cellStyle name="Separador de milhares 2 9 4 2" xfId="427" xr:uid="{69156B38-9A37-4605-8694-63199A27FBB4}"/>
    <cellStyle name="Separador de milhares 2 9 4 3" xfId="676" xr:uid="{85B70F40-30FB-41FC-A190-4B5ACBDCDA12}"/>
    <cellStyle name="Separador de milhares 20" xfId="93" xr:uid="{00000000-0005-0000-0000-0000E8000000}"/>
    <cellStyle name="Separador de milhares 20 2" xfId="428" xr:uid="{A21C38B3-DFD4-4A85-8687-4B026B933446}"/>
    <cellStyle name="Separador de milhares 20 3" xfId="677" xr:uid="{CE3E4535-1D44-4A46-80A4-D2B709DF5A4E}"/>
    <cellStyle name="Separador de milhares 21" xfId="237" xr:uid="{00000000-0005-0000-0000-0000E9000000}"/>
    <cellStyle name="Separador de milhares 21 2" xfId="545" xr:uid="{9FE939A8-FBC8-48B0-9549-307A486648E6}"/>
    <cellStyle name="Separador de milhares 21 3" xfId="794" xr:uid="{23134A17-FE09-462F-9B98-6CF6703E0CD7}"/>
    <cellStyle name="Separador de milhares 22" xfId="94" xr:uid="{00000000-0005-0000-0000-0000EA000000}"/>
    <cellStyle name="Separador de milhares 22 2" xfId="429" xr:uid="{588C491B-0B71-4A4E-8F24-FF5D32068EB6}"/>
    <cellStyle name="Separador de milhares 22 3" xfId="678" xr:uid="{2D75EF90-5C40-4E75-A1E6-92E4BDA01616}"/>
    <cellStyle name="Separador de milhares 23" xfId="95" xr:uid="{00000000-0005-0000-0000-0000EB000000}"/>
    <cellStyle name="Separador de milhares 23 2" xfId="430" xr:uid="{4F59AC69-6FDF-4B73-BBDA-D309EBF10E8E}"/>
    <cellStyle name="Separador de milhares 23 3" xfId="679" xr:uid="{3EC75154-D968-4415-AA2F-762164053AA3}"/>
    <cellStyle name="Separador de milhares 24" xfId="96" xr:uid="{00000000-0005-0000-0000-0000EC000000}"/>
    <cellStyle name="Separador de milhares 24 2" xfId="431" xr:uid="{C869BE0D-3F08-4E82-9409-BFA4849E90AC}"/>
    <cellStyle name="Separador de milhares 24 3" xfId="680" xr:uid="{44CC0466-EFE3-46E1-A083-85C5B110B16E}"/>
    <cellStyle name="Separador de milhares 25" xfId="97" xr:uid="{00000000-0005-0000-0000-0000ED000000}"/>
    <cellStyle name="Separador de milhares 25 2" xfId="432" xr:uid="{7F8688A9-0208-4C72-9223-ADDAD5713655}"/>
    <cellStyle name="Separador de milhares 25 3" xfId="681" xr:uid="{04CA67D9-8938-4124-9E23-7988628DB6B2}"/>
    <cellStyle name="Separador de milhares 26" xfId="98" xr:uid="{00000000-0005-0000-0000-0000EE000000}"/>
    <cellStyle name="Separador de milhares 26 2" xfId="433" xr:uid="{DDF3BD2F-305B-44A0-9A66-22E784FEDC06}"/>
    <cellStyle name="Separador de milhares 26 3" xfId="682" xr:uid="{576B8ED1-7ACD-490C-B730-FEEC80447193}"/>
    <cellStyle name="Separador de milhares 27" xfId="99" xr:uid="{00000000-0005-0000-0000-0000EF000000}"/>
    <cellStyle name="Separador de milhares 27 2" xfId="434" xr:uid="{4515182A-818F-4A72-A3F1-6038DB8F5D77}"/>
    <cellStyle name="Separador de milhares 27 3" xfId="683" xr:uid="{EC14142F-167F-4354-8DA3-4BA78DD7A3E4}"/>
    <cellStyle name="Separador de milhares 28" xfId="100" xr:uid="{00000000-0005-0000-0000-0000F0000000}"/>
    <cellStyle name="Separador de milhares 28 2" xfId="435" xr:uid="{7DAEB61F-A784-4EF9-B9D3-0C061B471635}"/>
    <cellStyle name="Separador de milhares 28 3" xfId="684" xr:uid="{79299B10-D369-4429-954B-F5FD8B79B8FB}"/>
    <cellStyle name="Separador de milhares 29" xfId="101" xr:uid="{00000000-0005-0000-0000-0000F1000000}"/>
    <cellStyle name="Separador de milhares 29 2" xfId="436" xr:uid="{3781009A-E2C9-4B8D-8060-A412F5A1B58E}"/>
    <cellStyle name="Separador de milhares 29 3" xfId="685" xr:uid="{4ABE50EB-DA62-4072-BBB5-CB8B7371F30A}"/>
    <cellStyle name="Separador de milhares 3" xfId="8" xr:uid="{00000000-0005-0000-0000-0000F2000000}"/>
    <cellStyle name="Separador de milhares 3 10" xfId="103" xr:uid="{00000000-0005-0000-0000-0000F3000000}"/>
    <cellStyle name="Separador de milhares 3 10 2" xfId="353" xr:uid="{00000000-0005-0000-0000-0000F4000000}"/>
    <cellStyle name="Separador de milhares 3 10 2 2" xfId="622" xr:uid="{126C811E-ACE8-4AEC-AECB-832095ED4D61}"/>
    <cellStyle name="Separador de milhares 3 10 2 3" xfId="871" xr:uid="{B0844523-38E7-4C1D-8ED2-9086FBB33E09}"/>
    <cellStyle name="Separador de milhares 3 10 3" xfId="438" xr:uid="{7B23F489-97FE-4FBE-9040-FB0D67F7D2AB}"/>
    <cellStyle name="Separador de milhares 3 10 4" xfId="687" xr:uid="{8DBE97FF-2008-4294-944A-F311B463F278}"/>
    <cellStyle name="Separador de milhares 3 11" xfId="104" xr:uid="{00000000-0005-0000-0000-0000F5000000}"/>
    <cellStyle name="Separador de milhares 3 11 2" xfId="439" xr:uid="{5E95C478-6959-4B5B-A4E5-85BAC968798B}"/>
    <cellStyle name="Separador de milhares 3 11 3" xfId="688" xr:uid="{A1276FA2-639C-4AA7-99A4-DACA22EA9561}"/>
    <cellStyle name="Separador de milhares 3 12" xfId="105" xr:uid="{00000000-0005-0000-0000-0000F6000000}"/>
    <cellStyle name="Separador de milhares 3 12 2" xfId="440" xr:uid="{15227C4A-2738-4127-A13C-5EA67EEC5D57}"/>
    <cellStyle name="Separador de milhares 3 12 3" xfId="689" xr:uid="{A0821454-941B-48D2-B725-415D9A5634AA}"/>
    <cellStyle name="Separador de milhares 3 13" xfId="106" xr:uid="{00000000-0005-0000-0000-0000F7000000}"/>
    <cellStyle name="Separador de milhares 3 13 2" xfId="441" xr:uid="{E66A3127-17C7-459D-A82E-64AF9811D41E}"/>
    <cellStyle name="Separador de milhares 3 13 3" xfId="690" xr:uid="{FA2C2037-F9FC-4E92-820C-4BEE8A3B5E38}"/>
    <cellStyle name="Separador de milhares 3 14" xfId="107" xr:uid="{00000000-0005-0000-0000-0000F8000000}"/>
    <cellStyle name="Separador de milhares 3 14 2" xfId="442" xr:uid="{3CE6873B-2BC1-4196-BEC5-6F7764D242E3}"/>
    <cellStyle name="Separador de milhares 3 14 3" xfId="691" xr:uid="{077D75C2-2D90-449E-828B-8FD7205D9960}"/>
    <cellStyle name="Separador de milhares 3 15" xfId="108" xr:uid="{00000000-0005-0000-0000-0000F9000000}"/>
    <cellStyle name="Separador de milhares 3 15 2" xfId="443" xr:uid="{13C6878D-860C-4B75-B263-D2107B218976}"/>
    <cellStyle name="Separador de milhares 3 15 3" xfId="692" xr:uid="{5E5FA9E7-83EE-4DCF-88FE-0ED8A77D21DA}"/>
    <cellStyle name="Separador de milhares 3 16" xfId="109" xr:uid="{00000000-0005-0000-0000-0000FA000000}"/>
    <cellStyle name="Separador de milhares 3 16 2" xfId="444" xr:uid="{CEC7C6CE-98EB-4954-9A72-E56D2F44648A}"/>
    <cellStyle name="Separador de milhares 3 16 3" xfId="693" xr:uid="{054065B0-B4D4-44AA-AD91-C2F383F5D235}"/>
    <cellStyle name="Separador de milhares 3 17" xfId="110" xr:uid="{00000000-0005-0000-0000-0000FB000000}"/>
    <cellStyle name="Separador de milhares 3 17 2" xfId="445" xr:uid="{F1AE3397-FD7A-46CF-B5BD-839EC299C506}"/>
    <cellStyle name="Separador de milhares 3 17 3" xfId="694" xr:uid="{E2ECA12A-1541-482A-9F37-023CCB6D7BEF}"/>
    <cellStyle name="Separador de milhares 3 18" xfId="111" xr:uid="{00000000-0005-0000-0000-0000FC000000}"/>
    <cellStyle name="Separador de milhares 3 18 2" xfId="446" xr:uid="{CD977397-1C15-4F44-A07C-F75F4189BFE4}"/>
    <cellStyle name="Separador de milhares 3 18 3" xfId="695" xr:uid="{7E1CDC13-AB59-4E3C-9521-5C8D9E335E5D}"/>
    <cellStyle name="Separador de milhares 3 19" xfId="112" xr:uid="{00000000-0005-0000-0000-0000FD000000}"/>
    <cellStyle name="Separador de milhares 3 19 2" xfId="447" xr:uid="{07045B7A-135E-4BF6-B993-32B8130EEBF9}"/>
    <cellStyle name="Separador de milhares 3 19 3" xfId="696" xr:uid="{5BE34938-46AA-44C7-BD14-346D4989C8CE}"/>
    <cellStyle name="Separador de milhares 3 2" xfId="113" xr:uid="{00000000-0005-0000-0000-0000FE000000}"/>
    <cellStyle name="Separador de milhares 3 2 2" xfId="448" xr:uid="{FEE3240A-01BD-4B73-964F-9CC18C9C7130}"/>
    <cellStyle name="Separador de milhares 3 2 3" xfId="697" xr:uid="{094EF8A5-B85F-4803-9FEB-10659DC67F6F}"/>
    <cellStyle name="Separador de milhares 3 20" xfId="114" xr:uid="{00000000-0005-0000-0000-0000FF000000}"/>
    <cellStyle name="Separador de milhares 3 20 2" xfId="449" xr:uid="{C0021F11-61D8-49FE-AD29-AF7598F207C3}"/>
    <cellStyle name="Separador de milhares 3 20 3" xfId="698" xr:uid="{EE11598D-68EC-4842-A9DD-721381A75A04}"/>
    <cellStyle name="Separador de milhares 3 21" xfId="115" xr:uid="{00000000-0005-0000-0000-000000010000}"/>
    <cellStyle name="Separador de milhares 3 21 2" xfId="450" xr:uid="{EAFAB222-3DAD-4F4C-986F-50865FF7A8CB}"/>
    <cellStyle name="Separador de milhares 3 21 3" xfId="699" xr:uid="{A168D784-9317-4DDA-8F0F-303CBF054FB3}"/>
    <cellStyle name="Separador de milhares 3 22" xfId="290" xr:uid="{00000000-0005-0000-0000-000001010000}"/>
    <cellStyle name="Separador de milhares 3 22 2" xfId="575" xr:uid="{15079A18-BB61-448A-970F-5CC2B5641496}"/>
    <cellStyle name="Separador de milhares 3 22 3" xfId="824" xr:uid="{34CC703E-1EE8-4298-9CEC-1E7FF851A0CD}"/>
    <cellStyle name="Separador de milhares 3 23" xfId="315" xr:uid="{00000000-0005-0000-0000-000002010000}"/>
    <cellStyle name="Separador de milhares 3 23 2" xfId="592" xr:uid="{ED840E75-DCFB-4AF3-A0CC-A4C1B53E5F55}"/>
    <cellStyle name="Separador de milhares 3 23 3" xfId="841" xr:uid="{15CAFEDB-9221-4A42-ACA4-8695D629D563}"/>
    <cellStyle name="Separador de milhares 3 24" xfId="102" xr:uid="{00000000-0005-0000-0000-000003010000}"/>
    <cellStyle name="Separador de milhares 3 24 2" xfId="437" xr:uid="{F66F4E9C-D4A7-4F01-B538-8BCA592DA603}"/>
    <cellStyle name="Separador de milhares 3 24 3" xfId="686" xr:uid="{EA43D161-BBB0-4C1F-8965-31A38E60443C}"/>
    <cellStyle name="Separador de milhares 3 25" xfId="337" xr:uid="{00000000-0005-0000-0000-000004010000}"/>
    <cellStyle name="Separador de milhares 3 25 2" xfId="608" xr:uid="{B08BC2AF-D725-4A25-92AA-FCF84C222B3E}"/>
    <cellStyle name="Separador de milhares 3 25 3" xfId="857" xr:uid="{35B2D009-8E0B-4612-96BC-DD911020A402}"/>
    <cellStyle name="Separador de milhares 3 26" xfId="378" xr:uid="{98D7BFA5-A300-4202-87F7-EE787B6C711E}"/>
    <cellStyle name="Separador de milhares 3 27" xfId="627" xr:uid="{FA275367-26E2-425D-8683-85A7FB103922}"/>
    <cellStyle name="Separador de milhares 3 3" xfId="116" xr:uid="{00000000-0005-0000-0000-000005010000}"/>
    <cellStyle name="Separador de milhares 3 3 2" xfId="451" xr:uid="{EDBE56A0-BB7F-4454-ACED-63E84CA7015F}"/>
    <cellStyle name="Separador de milhares 3 3 3" xfId="700" xr:uid="{DE6F0107-001E-4253-8EE5-030511CC0F6F}"/>
    <cellStyle name="Separador de milhares 3 4" xfId="117" xr:uid="{00000000-0005-0000-0000-000006010000}"/>
    <cellStyle name="Separador de milhares 3 4 2" xfId="452" xr:uid="{3EE70269-36EC-4941-8BD0-6058D3C06656}"/>
    <cellStyle name="Separador de milhares 3 4 3" xfId="701" xr:uid="{76E95D3A-4FBD-4D19-A643-B7106613CBA7}"/>
    <cellStyle name="Separador de milhares 3 5" xfId="118" xr:uid="{00000000-0005-0000-0000-000007010000}"/>
    <cellStyle name="Separador de milhares 3 5 2" xfId="453" xr:uid="{1186069F-4E16-4B13-9FE1-37CAAEF1FCF6}"/>
    <cellStyle name="Separador de milhares 3 5 3" xfId="702" xr:uid="{BF455A76-F396-41AD-9CC8-BEEEA86D680E}"/>
    <cellStyle name="Separador de milhares 3 6" xfId="119" xr:uid="{00000000-0005-0000-0000-000008010000}"/>
    <cellStyle name="Separador de milhares 3 6 2" xfId="454" xr:uid="{F7B931C6-5309-437C-AC69-0A9A4E571946}"/>
    <cellStyle name="Separador de milhares 3 6 3" xfId="703" xr:uid="{34EE0C93-6A2B-4F31-BFF5-77C502658605}"/>
    <cellStyle name="Separador de milhares 3 7" xfId="120" xr:uid="{00000000-0005-0000-0000-000009010000}"/>
    <cellStyle name="Separador de milhares 3 7 2" xfId="455" xr:uid="{96BE0D14-9F46-4584-9969-3C9F1BCC1890}"/>
    <cellStyle name="Separador de milhares 3 7 3" xfId="704" xr:uid="{E27CBAFE-5BF3-454D-80DE-9D3D90113A97}"/>
    <cellStyle name="Separador de milhares 3 8" xfId="121" xr:uid="{00000000-0005-0000-0000-00000A010000}"/>
    <cellStyle name="Separador de milhares 3 8 2" xfId="456" xr:uid="{40834B3F-F3B2-4582-B56A-C8E27C3F54E3}"/>
    <cellStyle name="Separador de milhares 3 8 3" xfId="705" xr:uid="{04AFD7FF-F4EB-4190-A072-BD3B7DB15349}"/>
    <cellStyle name="Separador de milhares 3 9" xfId="122" xr:uid="{00000000-0005-0000-0000-00000B010000}"/>
    <cellStyle name="Separador de milhares 3 9 2" xfId="457" xr:uid="{33DCA6FB-DDD2-432E-9281-58F2E5C81A3E}"/>
    <cellStyle name="Separador de milhares 3 9 3" xfId="706" xr:uid="{24D0B7E0-FC54-4B5B-A92A-C911FC8A7939}"/>
    <cellStyle name="Separador de milhares 30" xfId="123" xr:uid="{00000000-0005-0000-0000-00000C010000}"/>
    <cellStyle name="Separador de milhares 30 2" xfId="458" xr:uid="{DBB26EFD-E39C-4375-8020-780B11E90807}"/>
    <cellStyle name="Separador de milhares 30 3" xfId="707" xr:uid="{10624D7E-9525-4E51-9C00-AC859FB55A9D}"/>
    <cellStyle name="Separador de milhares 31" xfId="124" xr:uid="{00000000-0005-0000-0000-00000D010000}"/>
    <cellStyle name="Separador de milhares 31 2" xfId="459" xr:uid="{94092C47-3730-4AB4-B881-3D0DC5FAE4CD}"/>
    <cellStyle name="Separador de milhares 31 3" xfId="708" xr:uid="{A5DB07F6-4B9C-48C6-99E1-EF712B88BB0E}"/>
    <cellStyle name="Separador de milhares 4" xfId="37" xr:uid="{00000000-0005-0000-0000-00000E010000}"/>
    <cellStyle name="Separador de milhares 4 2" xfId="215" xr:uid="{00000000-0005-0000-0000-00000F010000}"/>
    <cellStyle name="Separador de milhares 4 3" xfId="294" xr:uid="{00000000-0005-0000-0000-000010010000}"/>
    <cellStyle name="Separador de milhares 4 3 2" xfId="579" xr:uid="{68F6A145-AEB0-4416-86F7-A26CCB6F0528}"/>
    <cellStyle name="Separador de milhares 4 3 3" xfId="828" xr:uid="{750C0192-173A-4A99-AD03-B8757431E25D}"/>
    <cellStyle name="Separador de milhares 4 4" xfId="125" xr:uid="{00000000-0005-0000-0000-000011010000}"/>
    <cellStyle name="Separador de milhares 4 4 2" xfId="460" xr:uid="{FD00A8B0-9A22-4BD7-9AFA-8F4680FC4DFB}"/>
    <cellStyle name="Separador de milhares 4 4 3" xfId="709" xr:uid="{77863B27-8D2E-4D14-A86D-FD535101368F}"/>
    <cellStyle name="Separador de milhares 5" xfId="38" xr:uid="{00000000-0005-0000-0000-000012010000}"/>
    <cellStyle name="Separador de milhares 5 10" xfId="127" xr:uid="{00000000-0005-0000-0000-000013010000}"/>
    <cellStyle name="Separador de milhares 5 10 2" xfId="462" xr:uid="{174FB57C-6D1A-4874-A993-7A1808426603}"/>
    <cellStyle name="Separador de milhares 5 10 3" xfId="711" xr:uid="{CA4BEF2F-337B-49BB-95AC-12E3A8B89713}"/>
    <cellStyle name="Separador de milhares 5 11" xfId="128" xr:uid="{00000000-0005-0000-0000-000014010000}"/>
    <cellStyle name="Separador de milhares 5 11 2" xfId="463" xr:uid="{A917B017-5D86-4824-B024-CECA908269CA}"/>
    <cellStyle name="Separador de milhares 5 11 3" xfId="712" xr:uid="{3BF8DA4A-04B5-4036-AE1C-1A9A34EB7C0A}"/>
    <cellStyle name="Separador de milhares 5 12" xfId="129" xr:uid="{00000000-0005-0000-0000-000015010000}"/>
    <cellStyle name="Separador de milhares 5 12 2" xfId="464" xr:uid="{972D052A-640E-4743-9E91-25C042397264}"/>
    <cellStyle name="Separador de milhares 5 12 3" xfId="713" xr:uid="{9842C143-A840-499B-8A5A-3F29EB532B45}"/>
    <cellStyle name="Separador de milhares 5 13" xfId="130" xr:uid="{00000000-0005-0000-0000-000016010000}"/>
    <cellStyle name="Separador de milhares 5 13 2" xfId="465" xr:uid="{8F56C081-0F0A-4E60-BCCC-FFDB989DC7E9}"/>
    <cellStyle name="Separador de milhares 5 13 3" xfId="714" xr:uid="{1199E0A3-813E-40B6-B0DB-0D5A34E6843C}"/>
    <cellStyle name="Separador de milhares 5 14" xfId="131" xr:uid="{00000000-0005-0000-0000-000017010000}"/>
    <cellStyle name="Separador de milhares 5 14 2" xfId="466" xr:uid="{85F4F42E-CEED-4553-9EF5-D8BCE6E7A172}"/>
    <cellStyle name="Separador de milhares 5 14 3" xfId="715" xr:uid="{64597713-C2AD-4B38-97ED-2C4230EAFE2A}"/>
    <cellStyle name="Separador de milhares 5 15" xfId="132" xr:uid="{00000000-0005-0000-0000-000018010000}"/>
    <cellStyle name="Separador de milhares 5 15 2" xfId="467" xr:uid="{9AA508E7-A9BD-483A-BFC3-3D0A1ADC4B85}"/>
    <cellStyle name="Separador de milhares 5 15 3" xfId="716" xr:uid="{40113C08-71C7-4314-A4A2-84C7B8138E8E}"/>
    <cellStyle name="Separador de milhares 5 16" xfId="133" xr:uid="{00000000-0005-0000-0000-000019010000}"/>
    <cellStyle name="Separador de milhares 5 16 2" xfId="468" xr:uid="{BC65B6EC-AC98-460B-A1C9-5E9151B759AE}"/>
    <cellStyle name="Separador de milhares 5 16 3" xfId="717" xr:uid="{A457511B-E48C-44FA-9F03-F1F0907BDB6E}"/>
    <cellStyle name="Separador de milhares 5 17" xfId="134" xr:uid="{00000000-0005-0000-0000-00001A010000}"/>
    <cellStyle name="Separador de milhares 5 17 2" xfId="469" xr:uid="{5F816463-0697-4760-BF91-B40B6C64DD4E}"/>
    <cellStyle name="Separador de milhares 5 17 3" xfId="718" xr:uid="{8AFB316C-3298-4445-8B40-E5BDA2AFE2EE}"/>
    <cellStyle name="Separador de milhares 5 18" xfId="135" xr:uid="{00000000-0005-0000-0000-00001B010000}"/>
    <cellStyle name="Separador de milhares 5 18 2" xfId="470" xr:uid="{8E28D497-F791-4ACF-A27C-E220E0D16429}"/>
    <cellStyle name="Separador de milhares 5 18 3" xfId="719" xr:uid="{B20C126C-0FB7-4B9A-9DE6-CF4D7D7D87F9}"/>
    <cellStyle name="Separador de milhares 5 19" xfId="136" xr:uid="{00000000-0005-0000-0000-00001C010000}"/>
    <cellStyle name="Separador de milhares 5 19 2" xfId="471" xr:uid="{14CF523A-2EA6-434E-B572-3D86EE0B7213}"/>
    <cellStyle name="Separador de milhares 5 19 3" xfId="720" xr:uid="{9C7EDFB4-DBF1-4635-BA6C-0C037800669B}"/>
    <cellStyle name="Separador de milhares 5 2" xfId="137" xr:uid="{00000000-0005-0000-0000-00001D010000}"/>
    <cellStyle name="Separador de milhares 5 2 2" xfId="472" xr:uid="{B8E7D566-E6BC-45E5-B12D-F6DE23EFBCC6}"/>
    <cellStyle name="Separador de milhares 5 2 3" xfId="721" xr:uid="{284627B3-6154-4E74-A592-570ADFBC5BEA}"/>
    <cellStyle name="Separador de milhares 5 20" xfId="138" xr:uid="{00000000-0005-0000-0000-00001E010000}"/>
    <cellStyle name="Separador de milhares 5 20 2" xfId="473" xr:uid="{D85D7B16-C272-4928-A320-9DD5961C9A63}"/>
    <cellStyle name="Separador de milhares 5 20 3" xfId="722" xr:uid="{D6A37E3E-262E-4F7B-82A4-F27A51EC692F}"/>
    <cellStyle name="Separador de milhares 5 21" xfId="139" xr:uid="{00000000-0005-0000-0000-00001F010000}"/>
    <cellStyle name="Separador de milhares 5 21 2" xfId="474" xr:uid="{928B53CB-96A9-41FA-9913-D8A9E38E6CDB}"/>
    <cellStyle name="Separador de milhares 5 21 3" xfId="723" xr:uid="{E6FFFA65-D241-42F9-861F-ACEEF087B28E}"/>
    <cellStyle name="Separador de milhares 5 22" xfId="295" xr:uid="{00000000-0005-0000-0000-000020010000}"/>
    <cellStyle name="Separador de milhares 5 22 2" xfId="580" xr:uid="{D61D87A0-0071-488F-A40C-ACD54C83BA5F}"/>
    <cellStyle name="Separador de milhares 5 22 3" xfId="829" xr:uid="{1A74FD7C-9EB7-4B2F-97DE-7065D42D77D1}"/>
    <cellStyle name="Separador de milhares 5 23" xfId="320" xr:uid="{00000000-0005-0000-0000-000021010000}"/>
    <cellStyle name="Separador de milhares 5 23 2" xfId="597" xr:uid="{C1F21FCF-8D79-4BF5-9062-EEC77BEA6111}"/>
    <cellStyle name="Separador de milhares 5 23 3" xfId="846" xr:uid="{A10648E5-6BBB-4CC4-A8A9-800C99DC83C1}"/>
    <cellStyle name="Separador de milhares 5 24" xfId="126" xr:uid="{00000000-0005-0000-0000-000022010000}"/>
    <cellStyle name="Separador de milhares 5 24 2" xfId="461" xr:uid="{1B4B3716-1A38-46FA-98ED-EE8F3FA57D27}"/>
    <cellStyle name="Separador de milhares 5 24 3" xfId="710" xr:uid="{5330CBBC-6C0C-4728-AAD9-6DB659D80944}"/>
    <cellStyle name="Separador de milhares 5 25" xfId="344" xr:uid="{00000000-0005-0000-0000-000023010000}"/>
    <cellStyle name="Separador de milhares 5 25 2" xfId="615" xr:uid="{991CE304-859E-47B9-A874-717BF09A68B5}"/>
    <cellStyle name="Separador de milhares 5 25 3" xfId="864" xr:uid="{DE5487A5-4EE9-4DD1-B2D0-7C13E4774670}"/>
    <cellStyle name="Separador de milhares 5 26" xfId="385" xr:uid="{2861991A-5A55-4C4A-BB51-693F23F00019}"/>
    <cellStyle name="Separador de milhares 5 27" xfId="634" xr:uid="{127E7019-3E34-4D4E-854A-2E553C74F629}"/>
    <cellStyle name="Separador de milhares 5 3" xfId="140" xr:uid="{00000000-0005-0000-0000-000024010000}"/>
    <cellStyle name="Separador de milhares 5 3 2" xfId="475" xr:uid="{4355F5BF-249A-4035-A34E-04F798FEBF36}"/>
    <cellStyle name="Separador de milhares 5 3 3" xfId="724" xr:uid="{67C6B3D1-1FDC-461F-896E-F9043835E5C5}"/>
    <cellStyle name="Separador de milhares 5 4" xfId="141" xr:uid="{00000000-0005-0000-0000-000025010000}"/>
    <cellStyle name="Separador de milhares 5 4 2" xfId="476" xr:uid="{2C255C06-6C23-4383-BC95-9EC8C0F9C870}"/>
    <cellStyle name="Separador de milhares 5 4 3" xfId="725" xr:uid="{1EF4791D-90F2-4CB7-9577-81BCEC629DBE}"/>
    <cellStyle name="Separador de milhares 5 5" xfId="142" xr:uid="{00000000-0005-0000-0000-000026010000}"/>
    <cellStyle name="Separador de milhares 5 5 2" xfId="477" xr:uid="{C0604255-2295-4B24-A1E3-DB3DC258F796}"/>
    <cellStyle name="Separador de milhares 5 5 3" xfId="726" xr:uid="{C0625CC8-F2C7-4EFF-A836-C34AA310648A}"/>
    <cellStyle name="Separador de milhares 5 6" xfId="143" xr:uid="{00000000-0005-0000-0000-000027010000}"/>
    <cellStyle name="Separador de milhares 5 6 2" xfId="478" xr:uid="{FBE760FB-8184-4A74-B66E-E7A2B1ECAB54}"/>
    <cellStyle name="Separador de milhares 5 6 3" xfId="727" xr:uid="{6716E151-5C5D-4DD0-97F1-A49D3606CD23}"/>
    <cellStyle name="Separador de milhares 5 7" xfId="144" xr:uid="{00000000-0005-0000-0000-000028010000}"/>
    <cellStyle name="Separador de milhares 5 7 2" xfId="479" xr:uid="{9DE40F3C-824E-44E4-9EA8-3BB3B783D809}"/>
    <cellStyle name="Separador de milhares 5 7 3" xfId="728" xr:uid="{B7836CE8-C717-4701-A91A-CAB71F437469}"/>
    <cellStyle name="Separador de milhares 5 8" xfId="145" xr:uid="{00000000-0005-0000-0000-000029010000}"/>
    <cellStyle name="Separador de milhares 5 8 2" xfId="480" xr:uid="{40D10097-1A09-4C85-B614-89BFCC78B38A}"/>
    <cellStyle name="Separador de milhares 5 8 3" xfId="729" xr:uid="{1F1F0C44-C5FC-44E6-A7F5-416C4AC0843D}"/>
    <cellStyle name="Separador de milhares 5 9" xfId="146" xr:uid="{00000000-0005-0000-0000-00002A010000}"/>
    <cellStyle name="Separador de milhares 5 9 2" xfId="481" xr:uid="{C5C0DA8B-5D90-4B21-A332-810932B0E490}"/>
    <cellStyle name="Separador de milhares 5 9 3" xfId="730" xr:uid="{B250BB66-D3C2-4A1E-BC8E-2B251592C757}"/>
    <cellStyle name="Separador de milhares 6" xfId="39" xr:uid="{00000000-0005-0000-0000-00002B010000}"/>
    <cellStyle name="Separador de milhares 6 2" xfId="214" xr:uid="{00000000-0005-0000-0000-00002C010000}"/>
    <cellStyle name="Separador de milhares 6 3" xfId="296" xr:uid="{00000000-0005-0000-0000-00002D010000}"/>
    <cellStyle name="Separador de milhares 6 3 2" xfId="581" xr:uid="{2E11B076-1F53-4FBC-98F4-ACD88A374835}"/>
    <cellStyle name="Separador de milhares 6 3 3" xfId="830" xr:uid="{06CEF2B0-6BE8-49E8-8BAD-57EFFF23D5B3}"/>
    <cellStyle name="Separador de milhares 6 4" xfId="147" xr:uid="{00000000-0005-0000-0000-00002E010000}"/>
    <cellStyle name="Separador de milhares 6 4 2" xfId="482" xr:uid="{7147A737-9DFE-45D4-868B-D65A2660CFBB}"/>
    <cellStyle name="Separador de milhares 6 4 3" xfId="731" xr:uid="{CF908E92-429B-459E-9E57-0C19E0B1525A}"/>
    <cellStyle name="Separador de milhares 69" xfId="181" xr:uid="{00000000-0005-0000-0000-00002F010000}"/>
    <cellStyle name="Separador de milhares 69 2" xfId="512" xr:uid="{E490B83B-132C-4C1F-9512-B4E9AB078AAD}"/>
    <cellStyle name="Separador de milhares 69 3" xfId="761" xr:uid="{99B75ED3-30D4-45A6-AF61-5E2BF2A3F587}"/>
    <cellStyle name="Separador de milhares 7" xfId="40" xr:uid="{00000000-0005-0000-0000-000030010000}"/>
    <cellStyle name="Separador de milhares 7 2" xfId="213" xr:uid="{00000000-0005-0000-0000-000031010000}"/>
    <cellStyle name="Separador de milhares 7 3" xfId="297" xr:uid="{00000000-0005-0000-0000-000032010000}"/>
    <cellStyle name="Separador de milhares 7 3 2" xfId="582" xr:uid="{1CE25103-628D-42AF-8A37-CD970C221A1A}"/>
    <cellStyle name="Separador de milhares 7 3 3" xfId="831" xr:uid="{5FE9ADCE-5885-429A-9829-D432CB2B3EC3}"/>
    <cellStyle name="Separador de milhares 7 4" xfId="148" xr:uid="{00000000-0005-0000-0000-000033010000}"/>
    <cellStyle name="Separador de milhares 7 4 2" xfId="483" xr:uid="{1EABCE86-401E-44A2-B22F-59949B535EFB}"/>
    <cellStyle name="Separador de milhares 7 4 3" xfId="732" xr:uid="{0A8B91D6-85D2-4AD2-96D4-257BDDBC51CB}"/>
    <cellStyle name="Separador de milhares 70" xfId="182" xr:uid="{00000000-0005-0000-0000-000034010000}"/>
    <cellStyle name="Separador de milhares 70 2" xfId="513" xr:uid="{0FBEEEE3-18A6-49F2-AEAA-43C9C09DF7DD}"/>
    <cellStyle name="Separador de milhares 70 3" xfId="762" xr:uid="{5AC31188-531A-4552-99B3-E6FC7F952449}"/>
    <cellStyle name="Separador de milhares 71" xfId="183" xr:uid="{00000000-0005-0000-0000-000035010000}"/>
    <cellStyle name="Separador de milhares 71 2" xfId="514" xr:uid="{498706B4-658F-4322-852A-791F0821D1E7}"/>
    <cellStyle name="Separador de milhares 71 3" xfId="763" xr:uid="{C02F93E7-E9A7-4EA7-ACCF-FC0093FD7430}"/>
    <cellStyle name="Separador de milhares 72" xfId="184" xr:uid="{00000000-0005-0000-0000-000036010000}"/>
    <cellStyle name="Separador de milhares 72 2" xfId="515" xr:uid="{4CA26C33-76A4-4BD8-B7D0-68582A8DDBC4}"/>
    <cellStyle name="Separador de milhares 72 3" xfId="764" xr:uid="{D960A015-1DBE-488C-9A46-A9814AD97F2A}"/>
    <cellStyle name="Separador de milhares 73" xfId="185" xr:uid="{00000000-0005-0000-0000-000037010000}"/>
    <cellStyle name="Separador de milhares 73 2" xfId="516" xr:uid="{28AD8333-4DDC-43F4-8ED4-FBC31A321B1E}"/>
    <cellStyle name="Separador de milhares 73 3" xfId="765" xr:uid="{2D840839-33B2-4B15-B3E5-DF182E47F692}"/>
    <cellStyle name="Separador de milhares 74" xfId="186" xr:uid="{00000000-0005-0000-0000-000038010000}"/>
    <cellStyle name="Separador de milhares 74 2" xfId="517" xr:uid="{BB61BA42-84CC-4D70-8FE0-D3E7DC734D32}"/>
    <cellStyle name="Separador de milhares 74 3" xfId="766" xr:uid="{B2A03FF6-8CF9-444A-AB68-968A414305E2}"/>
    <cellStyle name="Separador de milhares 75" xfId="187" xr:uid="{00000000-0005-0000-0000-000039010000}"/>
    <cellStyle name="Separador de milhares 75 2" xfId="518" xr:uid="{D563D003-FA6B-47C3-BB10-B1E979070E37}"/>
    <cellStyle name="Separador de milhares 75 3" xfId="767" xr:uid="{261246AA-46C1-40D4-9AE0-483F83DA02E1}"/>
    <cellStyle name="Separador de milhares 76" xfId="188" xr:uid="{00000000-0005-0000-0000-00003A010000}"/>
    <cellStyle name="Separador de milhares 76 2" xfId="519" xr:uid="{0D44E869-DFAF-4AB0-A04B-D1B864FCB231}"/>
    <cellStyle name="Separador de milhares 76 3" xfId="768" xr:uid="{D1921B11-887E-4734-8FAF-E51054B35681}"/>
    <cellStyle name="Separador de milhares 77" xfId="189" xr:uid="{00000000-0005-0000-0000-00003B010000}"/>
    <cellStyle name="Separador de milhares 77 2" xfId="520" xr:uid="{73D45A7E-E7F3-4348-976D-AFA35B2EA332}"/>
    <cellStyle name="Separador de milhares 77 3" xfId="769" xr:uid="{31083FB1-B670-45CC-A617-7EFD720F6835}"/>
    <cellStyle name="Separador de milhares 78" xfId="190" xr:uid="{00000000-0005-0000-0000-00003C010000}"/>
    <cellStyle name="Separador de milhares 78 2" xfId="521" xr:uid="{8F5ABE1F-BD45-4937-A912-0AA3117740DA}"/>
    <cellStyle name="Separador de milhares 78 3" xfId="770" xr:uid="{A7EC1791-81D4-4AAD-978C-53034A236428}"/>
    <cellStyle name="Separador de milhares 79" xfId="191" xr:uid="{00000000-0005-0000-0000-00003D010000}"/>
    <cellStyle name="Separador de milhares 79 2" xfId="522" xr:uid="{4CC89553-28EE-46A2-A5ED-6132F7F33C7A}"/>
    <cellStyle name="Separador de milhares 79 3" xfId="771" xr:uid="{A3F464D5-35CE-420F-A6FE-1ED0C3E0650E}"/>
    <cellStyle name="Separador de milhares 8" xfId="41" xr:uid="{00000000-0005-0000-0000-00003E010000}"/>
    <cellStyle name="Separador de milhares 8 2" xfId="212" xr:uid="{00000000-0005-0000-0000-00003F010000}"/>
    <cellStyle name="Separador de milhares 8 3" xfId="298" xr:uid="{00000000-0005-0000-0000-000040010000}"/>
    <cellStyle name="Separador de milhares 8 3 2" xfId="583" xr:uid="{F04286C9-1A23-4C86-B5CB-DB7814D52172}"/>
    <cellStyle name="Separador de milhares 8 3 3" xfId="832" xr:uid="{E60044D2-58C2-4DE0-987F-8321CB8D6142}"/>
    <cellStyle name="Separador de milhares 8 4" xfId="149" xr:uid="{00000000-0005-0000-0000-000041010000}"/>
    <cellStyle name="Separador de milhares 8 4 2" xfId="484" xr:uid="{E9763862-2C77-4DC4-ACCA-CA8A2AC77720}"/>
    <cellStyle name="Separador de milhares 8 4 3" xfId="733" xr:uid="{7F14F1D1-F19B-4430-B669-12DA6E567F53}"/>
    <cellStyle name="Separador de milhares 80" xfId="192" xr:uid="{00000000-0005-0000-0000-000042010000}"/>
    <cellStyle name="Separador de milhares 80 2" xfId="523" xr:uid="{1D14308A-9D43-4DF1-B9AA-6FA22CB03439}"/>
    <cellStyle name="Separador de milhares 80 3" xfId="772" xr:uid="{38966581-9A98-4B38-8E51-BAF8FE5F9D5D}"/>
    <cellStyle name="Separador de milhares 81" xfId="193" xr:uid="{00000000-0005-0000-0000-000043010000}"/>
    <cellStyle name="Separador de milhares 81 2" xfId="524" xr:uid="{E6EFAFE3-9AD0-4D75-BE18-99FAFA924075}"/>
    <cellStyle name="Separador de milhares 81 3" xfId="773" xr:uid="{37D0FA88-C31D-4979-8174-421B0A4D36C4}"/>
    <cellStyle name="Separador de milhares 82" xfId="194" xr:uid="{00000000-0005-0000-0000-000044010000}"/>
    <cellStyle name="Separador de milhares 82 2" xfId="525" xr:uid="{8B5BA2AA-9CE2-44EA-80C4-765B28AD8A51}"/>
    <cellStyle name="Separador de milhares 82 3" xfId="774" xr:uid="{4E01D316-6422-45A0-9FAB-549DE8385A24}"/>
    <cellStyle name="Separador de milhares 83" xfId="195" xr:uid="{00000000-0005-0000-0000-000045010000}"/>
    <cellStyle name="Separador de milhares 83 2" xfId="526" xr:uid="{11C87BAD-AB36-450A-B610-1408CBF57497}"/>
    <cellStyle name="Separador de milhares 83 3" xfId="775" xr:uid="{4BF7C586-34E5-4E5B-931E-C291DF469CC3}"/>
    <cellStyle name="Separador de milhares 84" xfId="196" xr:uid="{00000000-0005-0000-0000-000046010000}"/>
    <cellStyle name="Separador de milhares 84 2" xfId="527" xr:uid="{A71D0F8A-81E5-4250-BB27-099E6185A8FE}"/>
    <cellStyle name="Separador de milhares 84 3" xfId="776" xr:uid="{5A89194C-7EE7-42E4-A5FF-1FF452DCBBE4}"/>
    <cellStyle name="Separador de milhares 85" xfId="197" xr:uid="{00000000-0005-0000-0000-000047010000}"/>
    <cellStyle name="Separador de milhares 85 2" xfId="528" xr:uid="{1BB134B3-CE6E-41F2-A4A3-D84147EBE930}"/>
    <cellStyle name="Separador de milhares 85 3" xfId="777" xr:uid="{0A83950F-4336-46ED-BBEF-D151F8E2F800}"/>
    <cellStyle name="Separador de milhares 86" xfId="198" xr:uid="{00000000-0005-0000-0000-000048010000}"/>
    <cellStyle name="Separador de milhares 86 2" xfId="529" xr:uid="{263F0F0D-476F-4F00-A761-CBB68490EB8D}"/>
    <cellStyle name="Separador de milhares 86 3" xfId="778" xr:uid="{066D7C25-F76A-46BF-88A2-5D3218FFF1ED}"/>
    <cellStyle name="Separador de milhares 87" xfId="199" xr:uid="{00000000-0005-0000-0000-000049010000}"/>
    <cellStyle name="Separador de milhares 87 2" xfId="530" xr:uid="{4320E046-A97F-4B26-8F90-093BC37843EE}"/>
    <cellStyle name="Separador de milhares 87 3" xfId="779" xr:uid="{AC881218-2144-4D48-B77E-870CC78FCB73}"/>
    <cellStyle name="Separador de milhares 88" xfId="200" xr:uid="{00000000-0005-0000-0000-00004A010000}"/>
    <cellStyle name="Separador de milhares 88 2" xfId="531" xr:uid="{5C020A2C-EE36-46B0-9057-1EC9CAA03727}"/>
    <cellStyle name="Separador de milhares 88 3" xfId="780" xr:uid="{81B0FE5B-BBC7-42E5-82A6-5ABF673725AD}"/>
    <cellStyle name="Separador de milhares 89" xfId="201" xr:uid="{00000000-0005-0000-0000-00004B010000}"/>
    <cellStyle name="Separador de milhares 89 2" xfId="532" xr:uid="{9D95CD7C-9DFE-4CC5-A88C-037B172E979C}"/>
    <cellStyle name="Separador de milhares 89 3" xfId="781" xr:uid="{29A08CBD-034B-4164-B9B2-B07673D39E4E}"/>
    <cellStyle name="Separador de milhares 9" xfId="42" xr:uid="{00000000-0005-0000-0000-00004C010000}"/>
    <cellStyle name="Separador de milhares 9 2" xfId="321" xr:uid="{00000000-0005-0000-0000-00004D010000}"/>
    <cellStyle name="Separador de milhares 9 2 2" xfId="598" xr:uid="{73A30F8E-C0AD-4F2E-9480-2138A3FBCC86}"/>
    <cellStyle name="Separador de milhares 9 2 3" xfId="847" xr:uid="{4598246D-F90F-4D8D-9306-FADE25C61553}"/>
    <cellStyle name="Separador de milhares 9 3" xfId="150" xr:uid="{00000000-0005-0000-0000-00004E010000}"/>
    <cellStyle name="Separador de milhares 9 3 2" xfId="485" xr:uid="{FEC7B318-734E-4361-BC25-980526FB9115}"/>
    <cellStyle name="Separador de milhares 9 3 3" xfId="734" xr:uid="{F5C6F173-50EE-41AB-B272-452434090404}"/>
    <cellStyle name="Separador de milhares 9 4" xfId="345" xr:uid="{00000000-0005-0000-0000-00004F010000}"/>
    <cellStyle name="Separador de milhares 9 4 2" xfId="616" xr:uid="{9DEB7DE0-963C-4C75-9777-3C7697216C15}"/>
    <cellStyle name="Separador de milhares 9 4 3" xfId="865" xr:uid="{948531F1-12E4-49B2-9771-FA0E0BC5709B}"/>
    <cellStyle name="Separador de milhares 9 5" xfId="386" xr:uid="{B861418B-85DF-4A8E-B655-4E7263A87942}"/>
    <cellStyle name="Separador de milhares 9 6" xfId="635" xr:uid="{8016254A-3056-495B-9305-79D37C08D51F}"/>
    <cellStyle name="Separador de milhares 90" xfId="202" xr:uid="{00000000-0005-0000-0000-000050010000}"/>
    <cellStyle name="Separador de milhares 90 2" xfId="533" xr:uid="{8D2BD3D4-DBE5-4F50-99A7-8FF22ADA5D84}"/>
    <cellStyle name="Separador de milhares 90 3" xfId="782" xr:uid="{49488057-3847-4633-B3DF-A2DB173BD188}"/>
    <cellStyle name="Separador de milhares 91" xfId="203" xr:uid="{00000000-0005-0000-0000-000051010000}"/>
    <cellStyle name="Separador de milhares 91 2" xfId="534" xr:uid="{CB6EE0FB-3E09-42E3-B3BF-4B5198EA4DD1}"/>
    <cellStyle name="Separador de milhares 91 3" xfId="783" xr:uid="{8718279D-28F8-4B12-A802-597A090834BB}"/>
    <cellStyle name="Separador de milhares 92" xfId="204" xr:uid="{00000000-0005-0000-0000-000052010000}"/>
    <cellStyle name="Separador de milhares 92 2" xfId="535" xr:uid="{CA4D46FC-504A-42C0-9EDA-ED41CD86C48F}"/>
    <cellStyle name="Separador de milhares 92 3" xfId="784" xr:uid="{EB8C0A24-0D2A-48C9-B3A2-7F7B41A49DCB}"/>
    <cellStyle name="Separador de milhares 93" xfId="205" xr:uid="{00000000-0005-0000-0000-000053010000}"/>
    <cellStyle name="Separador de milhares 93 2" xfId="536" xr:uid="{31914855-7077-4F12-A4C3-5F38737A7BD1}"/>
    <cellStyle name="Separador de milhares 93 3" xfId="785" xr:uid="{13BB55AB-AEF3-491C-B3EF-73CC8906BECF}"/>
    <cellStyle name="Separador de milhares 94" xfId="206" xr:uid="{00000000-0005-0000-0000-000054010000}"/>
    <cellStyle name="Separador de milhares 94 2" xfId="537" xr:uid="{3112A773-0174-4944-9A50-281E71252755}"/>
    <cellStyle name="Separador de milhares 94 3" xfId="786" xr:uid="{B693C63E-0CE9-476E-8A9C-EE79CC650036}"/>
    <cellStyle name="Separador de milhares 95" xfId="207" xr:uid="{00000000-0005-0000-0000-000055010000}"/>
    <cellStyle name="Separador de milhares 95 2" xfId="538" xr:uid="{5D24F599-867D-4103-B885-34128576D015}"/>
    <cellStyle name="Separador de milhares 95 3" xfId="787" xr:uid="{145382BF-ED9B-4C03-A818-DF701FB87EAF}"/>
    <cellStyle name="Separador de milhares 96" xfId="208" xr:uid="{00000000-0005-0000-0000-000056010000}"/>
    <cellStyle name="Separador de milhares 96 2" xfId="539" xr:uid="{CD3800E6-01C7-4281-8BD3-5F0390AB0707}"/>
    <cellStyle name="Separador de milhares 96 3" xfId="788" xr:uid="{F864788D-460B-4050-B34F-7EE44757ADFF}"/>
    <cellStyle name="Separador de milhares 97" xfId="209" xr:uid="{00000000-0005-0000-0000-000057010000}"/>
    <cellStyle name="Separador de milhares 97 2" xfId="540" xr:uid="{541404BB-B112-48BD-A1E7-11395A0B2CFD}"/>
    <cellStyle name="Separador de milhares 97 3" xfId="789" xr:uid="{38AEAEA6-0524-4CFE-82F2-788441628F19}"/>
    <cellStyle name="Separador de milhares 98" xfId="210" xr:uid="{00000000-0005-0000-0000-000058010000}"/>
    <cellStyle name="Separador de milhares 98 2" xfId="541" xr:uid="{22CA7D2E-7AED-4599-A2B1-41C6249E7454}"/>
    <cellStyle name="Separador de milhares 98 3" xfId="790" xr:uid="{31A9FFA2-4DC7-45EA-9E6D-0C69312CAD06}"/>
    <cellStyle name="Separador de milhares 99" xfId="211" xr:uid="{00000000-0005-0000-0000-000059010000}"/>
    <cellStyle name="Separador de milhares 99 2" xfId="542" xr:uid="{D0E74862-8693-43E3-B38A-C53B08985DE8}"/>
    <cellStyle name="Separador de milhares 99 3" xfId="791" xr:uid="{8E28F677-8146-4F89-8C2E-5EC0FCBBA217}"/>
    <cellStyle name="Texto Explicativo 2" xfId="333" xr:uid="{00000000-0005-0000-0000-00005A010000}"/>
    <cellStyle name="Vírgula" xfId="373" builtinId="3"/>
    <cellStyle name="Vírgula 2" xfId="255" xr:uid="{00000000-0005-0000-0000-00005C010000}"/>
    <cellStyle name="Vírgula 2 2" xfId="351" xr:uid="{00000000-0005-0000-0000-00005D010000}"/>
    <cellStyle name="Vírgula 2 2 2" xfId="621" xr:uid="{8289A131-8FD0-4199-864B-DC15C3B924AE}"/>
    <cellStyle name="Vírgula 2 2 3" xfId="870" xr:uid="{E7BB2227-3A2D-4B21-96C3-AFF0A570860B}"/>
    <cellStyle name="Vírgula 2 3" xfId="550" xr:uid="{887621C8-4A89-4F3B-B3D6-121F8373F567}"/>
    <cellStyle name="Vírgula 2 4" xfId="799" xr:uid="{D96FBAA4-E527-4182-97D4-B88C32810D7C}"/>
    <cellStyle name="Vírgula 3" xfId="326" xr:uid="{00000000-0005-0000-0000-00005E010000}"/>
    <cellStyle name="Vírgula 3 2" xfId="603" xr:uid="{00E98CE5-1BB6-4E47-847A-977A5451B7CE}"/>
    <cellStyle name="Vírgula 3 3" xfId="852" xr:uid="{B87972A8-C58A-4635-BEEE-89FAE9079F8D}"/>
    <cellStyle name="Vírgula 4" xfId="57" xr:uid="{00000000-0005-0000-0000-00005F010000}"/>
    <cellStyle name="Vírgula 4 2" xfId="393" xr:uid="{5AD7FF3F-A370-4F25-98F0-D63B67320F1E}"/>
    <cellStyle name="Vírgula 4 3" xfId="642" xr:uid="{6E2FA82B-04C7-4873-AA2B-2DD2CB2CE528}"/>
    <cellStyle name="Vírgula 5" xfId="331" xr:uid="{00000000-0005-0000-0000-000060010000}"/>
    <cellStyle name="Vírgula 6" xfId="53" xr:uid="{00000000-0005-0000-0000-00008A010000}"/>
    <cellStyle name="Vírgula 6 2" xfId="391" xr:uid="{531B968B-45DB-4CC5-AE7C-4ADE22A95EF7}"/>
    <cellStyle name="Vírgula 6 3" xfId="640" xr:uid="{38EF24C1-8D19-4BB0-82DA-3E1F1BE9701E}"/>
    <cellStyle name="Vírgula 7" xfId="623" xr:uid="{394A4782-6146-4789-AAB7-210D6779D108}"/>
    <cellStyle name="Vírgula 8" xfId="872" xr:uid="{6E899E27-7036-4660-98DB-64C358F4DC6A}"/>
  </cellStyles>
  <dxfs count="0"/>
  <tableStyles count="1" defaultTableStyle="TableStyleMedium2" defaultPivotStyle="PivotStyleLight16">
    <tableStyle name="Estilo de Tabela 1" pivot="0" count="1" xr9:uid="{00000000-0011-0000-FFFF-FFFF00000000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1623059</xdr:colOff>
      <xdr:row>5</xdr:row>
      <xdr:rowOff>2938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8230FD-4BA9-4D55-8D3F-72B61784E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0" y="0"/>
          <a:ext cx="1630679" cy="1089202"/>
        </a:xfrm>
        <a:prstGeom prst="rect">
          <a:avLst/>
        </a:prstGeom>
      </xdr:spPr>
    </xdr:pic>
    <xdr:clientData/>
  </xdr:twoCellAnchor>
  <xdr:twoCellAnchor editAs="oneCell">
    <xdr:from>
      <xdr:col>6</xdr:col>
      <xdr:colOff>672133</xdr:colOff>
      <xdr:row>0</xdr:row>
      <xdr:rowOff>0</xdr:rowOff>
    </xdr:from>
    <xdr:to>
      <xdr:col>9</xdr:col>
      <xdr:colOff>0</xdr:colOff>
      <xdr:row>5</xdr:row>
      <xdr:rowOff>38888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56E4043-1CD2-45DC-A1AE-C8E64FC442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7969111" y="0"/>
          <a:ext cx="2160519" cy="1115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0</xdr:col>
      <xdr:colOff>1718309</xdr:colOff>
      <xdr:row>4</xdr:row>
      <xdr:rowOff>95206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1B7F5F-1907-4754-80EB-CE7282ABA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9144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56778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12EE30C-A2ED-4CBA-A9B1-8A70C8FD4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1695449</xdr:colOff>
      <xdr:row>4</xdr:row>
      <xdr:rowOff>95206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3C4887-2A0D-4500-9B3A-F7E9F693A6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7620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56778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BD2EC0-88D4-4B58-BB57-55351F752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62416" y="0"/>
          <a:ext cx="2157031" cy="11095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0</xdr:rowOff>
    </xdr:from>
    <xdr:to>
      <xdr:col>0</xdr:col>
      <xdr:colOff>1771649</xdr:colOff>
      <xdr:row>4</xdr:row>
      <xdr:rowOff>95206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D140C5-9644-412B-A7C2-839F2B6C8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4478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56778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09A7BE-AA68-4C8D-B4C5-A2D73E0CD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1704974</xdr:colOff>
      <xdr:row>4</xdr:row>
      <xdr:rowOff>104731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38B81A-77AE-4891-8CF1-A7B75E3B2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7620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66303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0B8037-32CB-42EA-B339-5B0B9FB04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0</xdr:rowOff>
    </xdr:from>
    <xdr:to>
      <xdr:col>0</xdr:col>
      <xdr:colOff>1752599</xdr:colOff>
      <xdr:row>4</xdr:row>
      <xdr:rowOff>104731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7F9696-3081-43F3-BFCF-19C35B5ED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2192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66303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ED8C1F9-6FE9-4747-BE4E-5ED5E4999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0</xdr:col>
      <xdr:colOff>1718309</xdr:colOff>
      <xdr:row>4</xdr:row>
      <xdr:rowOff>102826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8BD1993-90DF-4D39-B982-18B02D8E0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9144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4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820905A-AF2B-42E7-B2C0-7CB9D5A73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71941" y="0"/>
          <a:ext cx="2158034" cy="1038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0</xdr:rowOff>
    </xdr:from>
    <xdr:to>
      <xdr:col>0</xdr:col>
      <xdr:colOff>1794509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7C2EC0-AE63-4E86-AA3D-DA7D137DD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6764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DE920AB-A2D0-4348-8A88-CEFCEAE4CD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1744979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A5E64A-1E12-4D5C-A863-E1DEB1A75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1430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BF8B03-5A1C-4D1A-A084-0D49B90AB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7620</xdr:rowOff>
    </xdr:from>
    <xdr:to>
      <xdr:col>0</xdr:col>
      <xdr:colOff>1752599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4AAF4D-35AC-4A42-B14A-C904BB5C4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21920" y="762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78F7B1D-B26F-4AC9-AAE5-FA6D4CFAA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7620</xdr:rowOff>
    </xdr:from>
    <xdr:to>
      <xdr:col>0</xdr:col>
      <xdr:colOff>1752599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CED093-22A2-441D-B76C-6598F74AD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21920" y="762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D419AE-FCD6-4D74-93DC-E6607B059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1744979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52063A-8920-47CA-ABD7-D3876FB35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1430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F6B4B2-BE97-48A4-BB83-264773F8B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0</xdr:rowOff>
    </xdr:from>
    <xdr:to>
      <xdr:col>0</xdr:col>
      <xdr:colOff>1783079</xdr:colOff>
      <xdr:row>4</xdr:row>
      <xdr:rowOff>30187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5A1CB4-8DA0-448E-9762-6215E5275D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3716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1119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1644C05-605E-4C3F-86F0-040ED4C95A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0</xdr:rowOff>
    </xdr:from>
    <xdr:to>
      <xdr:col>0</xdr:col>
      <xdr:colOff>1744979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F08E7B-45D9-4381-9A22-65ED48674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0668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0B01357-E20B-4052-9549-0FB650E05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0</xdr:rowOff>
    </xdr:from>
    <xdr:to>
      <xdr:col>0</xdr:col>
      <xdr:colOff>1744979</xdr:colOff>
      <xdr:row>4</xdr:row>
      <xdr:rowOff>106636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ADA625C-F7EF-48D7-A8D6-6EB0008437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994"/>
        <a:stretch/>
      </xdr:blipFill>
      <xdr:spPr>
        <a:xfrm>
          <a:off x="106680" y="0"/>
          <a:ext cx="1630679" cy="1013416"/>
        </a:xfrm>
        <a:prstGeom prst="rect">
          <a:avLst/>
        </a:prstGeom>
      </xdr:spPr>
    </xdr:pic>
    <xdr:clientData/>
  </xdr:twoCellAnchor>
  <xdr:twoCellAnchor editAs="oneCell">
    <xdr:from>
      <xdr:col>6</xdr:col>
      <xdr:colOff>680416</xdr:colOff>
      <xdr:row>0</xdr:row>
      <xdr:rowOff>0</xdr:rowOff>
    </xdr:from>
    <xdr:to>
      <xdr:col>9</xdr:col>
      <xdr:colOff>0</xdr:colOff>
      <xdr:row>5</xdr:row>
      <xdr:rowOff>68208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38379C-39FE-4E71-A057-5D292B1B6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15" t="36169" r="14540" b="26747"/>
        <a:stretch/>
      </xdr:blipFill>
      <xdr:spPr>
        <a:xfrm>
          <a:off x="9087264" y="0"/>
          <a:ext cx="2160519" cy="1115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D37A-3F2E-445C-950D-8A953886B7CC}">
  <dimension ref="A1:H85"/>
  <sheetViews>
    <sheetView showGridLines="0" zoomScaleNormal="100" workbookViewId="0">
      <selection activeCell="A2" sqref="A2"/>
    </sheetView>
  </sheetViews>
  <sheetFormatPr defaultColWidth="9.109375" defaultRowHeight="13.2" x14ac:dyDescent="0.2"/>
  <cols>
    <col min="1" max="1" width="25.44140625" style="7" customWidth="1"/>
    <col min="2" max="2" width="55.5546875" style="7" customWidth="1"/>
    <col min="3" max="3" width="26.5546875" style="7" customWidth="1"/>
    <col min="4" max="4" width="8.5546875" style="7" bestFit="1" customWidth="1"/>
    <col min="5" max="16384" width="9.109375" style="7"/>
  </cols>
  <sheetData>
    <row r="1" spans="1:4" ht="39" customHeight="1" x14ac:dyDescent="0.2">
      <c r="A1" s="121" t="s">
        <v>126</v>
      </c>
      <c r="B1" s="121"/>
      <c r="C1" s="121"/>
      <c r="D1" s="121"/>
    </row>
    <row r="2" spans="1:4" ht="15" x14ac:dyDescent="0.3">
      <c r="A2" s="52" t="s">
        <v>75</v>
      </c>
      <c r="B2" s="52" t="s">
        <v>76</v>
      </c>
      <c r="C2" s="52" t="s">
        <v>77</v>
      </c>
      <c r="D2" s="52" t="s">
        <v>78</v>
      </c>
    </row>
    <row r="3" spans="1:4" x14ac:dyDescent="0.2">
      <c r="A3" s="53" t="s">
        <v>79</v>
      </c>
      <c r="B3" s="54" t="s">
        <v>107</v>
      </c>
      <c r="C3" s="54" t="s">
        <v>80</v>
      </c>
      <c r="D3" s="54" t="s">
        <v>81</v>
      </c>
    </row>
    <row r="4" spans="1:4" x14ac:dyDescent="0.2">
      <c r="A4" s="55" t="s">
        <v>108</v>
      </c>
      <c r="B4" s="54" t="s">
        <v>107</v>
      </c>
      <c r="C4" s="54" t="s">
        <v>105</v>
      </c>
      <c r="D4" s="54" t="s">
        <v>81</v>
      </c>
    </row>
    <row r="5" spans="1:4" x14ac:dyDescent="0.2">
      <c r="A5" s="55" t="s">
        <v>109</v>
      </c>
      <c r="B5" s="54" t="s">
        <v>107</v>
      </c>
      <c r="C5" s="54" t="s">
        <v>106</v>
      </c>
      <c r="D5" s="54" t="s">
        <v>81</v>
      </c>
    </row>
    <row r="6" spans="1:4" x14ac:dyDescent="0.2">
      <c r="A6" s="55" t="s">
        <v>82</v>
      </c>
      <c r="B6" s="54" t="s">
        <v>107</v>
      </c>
      <c r="C6" s="54" t="s">
        <v>83</v>
      </c>
      <c r="D6" s="54" t="s">
        <v>81</v>
      </c>
    </row>
    <row r="7" spans="1:4" x14ac:dyDescent="0.2">
      <c r="A7" s="55" t="s">
        <v>84</v>
      </c>
      <c r="B7" s="54" t="s">
        <v>107</v>
      </c>
      <c r="C7" s="54" t="s">
        <v>85</v>
      </c>
      <c r="D7" s="54" t="s">
        <v>81</v>
      </c>
    </row>
    <row r="8" spans="1:4" x14ac:dyDescent="0.2">
      <c r="A8" s="55" t="s">
        <v>86</v>
      </c>
      <c r="B8" s="54" t="s">
        <v>107</v>
      </c>
      <c r="C8" s="54" t="s">
        <v>87</v>
      </c>
      <c r="D8" s="54" t="s">
        <v>81</v>
      </c>
    </row>
    <row r="9" spans="1:4" x14ac:dyDescent="0.2">
      <c r="A9" s="55" t="s">
        <v>88</v>
      </c>
      <c r="B9" s="54" t="s">
        <v>107</v>
      </c>
      <c r="C9" s="54" t="s">
        <v>89</v>
      </c>
      <c r="D9" s="54" t="s">
        <v>81</v>
      </c>
    </row>
    <row r="10" spans="1:4" x14ac:dyDescent="0.2">
      <c r="A10" s="55" t="s">
        <v>110</v>
      </c>
      <c r="B10" s="54" t="s">
        <v>107</v>
      </c>
      <c r="C10" s="54" t="s">
        <v>102</v>
      </c>
      <c r="D10" s="54" t="s">
        <v>81</v>
      </c>
    </row>
    <row r="11" spans="1:4" x14ac:dyDescent="0.2">
      <c r="A11" s="55" t="s">
        <v>90</v>
      </c>
      <c r="B11" s="54" t="s">
        <v>107</v>
      </c>
      <c r="C11" s="54" t="s">
        <v>91</v>
      </c>
      <c r="D11" s="54" t="s">
        <v>81</v>
      </c>
    </row>
    <row r="12" spans="1:4" x14ac:dyDescent="0.2">
      <c r="A12" s="55" t="s">
        <v>92</v>
      </c>
      <c r="B12" s="54" t="s">
        <v>107</v>
      </c>
      <c r="C12" s="54" t="s">
        <v>93</v>
      </c>
      <c r="D12" s="54" t="s">
        <v>81</v>
      </c>
    </row>
    <row r="13" spans="1:4" x14ac:dyDescent="0.2">
      <c r="A13" s="55" t="s">
        <v>94</v>
      </c>
      <c r="B13" s="54" t="s">
        <v>107</v>
      </c>
      <c r="C13" s="54" t="s">
        <v>95</v>
      </c>
      <c r="D13" s="54" t="s">
        <v>81</v>
      </c>
    </row>
    <row r="14" spans="1:4" x14ac:dyDescent="0.2">
      <c r="A14" s="55" t="s">
        <v>111</v>
      </c>
      <c r="B14" s="54" t="s">
        <v>107</v>
      </c>
      <c r="C14" s="54" t="s">
        <v>103</v>
      </c>
      <c r="D14" s="54" t="s">
        <v>81</v>
      </c>
    </row>
    <row r="15" spans="1:4" x14ac:dyDescent="0.2">
      <c r="A15" s="55" t="s">
        <v>137</v>
      </c>
      <c r="B15" s="54" t="s">
        <v>107</v>
      </c>
      <c r="C15" s="54" t="s">
        <v>136</v>
      </c>
      <c r="D15" s="54" t="s">
        <v>81</v>
      </c>
    </row>
    <row r="16" spans="1:4" x14ac:dyDescent="0.2">
      <c r="A16" s="55" t="s">
        <v>96</v>
      </c>
      <c r="B16" s="54" t="s">
        <v>107</v>
      </c>
      <c r="C16" s="54" t="s">
        <v>97</v>
      </c>
      <c r="D16" s="54" t="s">
        <v>81</v>
      </c>
    </row>
    <row r="17" spans="1:4" x14ac:dyDescent="0.2">
      <c r="A17" s="55" t="s">
        <v>98</v>
      </c>
      <c r="B17" s="54" t="s">
        <v>107</v>
      </c>
      <c r="C17" s="54" t="s">
        <v>99</v>
      </c>
      <c r="D17" s="54" t="s">
        <v>81</v>
      </c>
    </row>
    <row r="18" spans="1:4" x14ac:dyDescent="0.2">
      <c r="A18" s="55" t="s">
        <v>100</v>
      </c>
      <c r="B18" s="54" t="s">
        <v>107</v>
      </c>
      <c r="C18" s="54" t="s">
        <v>101</v>
      </c>
      <c r="D18" s="54" t="s">
        <v>81</v>
      </c>
    </row>
    <row r="19" spans="1:4" x14ac:dyDescent="0.2">
      <c r="A19" s="55" t="s">
        <v>112</v>
      </c>
      <c r="B19" s="54" t="s">
        <v>107</v>
      </c>
      <c r="C19" s="54" t="s">
        <v>104</v>
      </c>
      <c r="D19" s="54" t="s">
        <v>81</v>
      </c>
    </row>
    <row r="77" spans="6:8" x14ac:dyDescent="0.2">
      <c r="F77" s="56">
        <v>4.9503000000000004</v>
      </c>
      <c r="H77" s="7">
        <v>5.1814</v>
      </c>
    </row>
    <row r="78" spans="6:8" x14ac:dyDescent="0.2">
      <c r="F78" s="7">
        <v>4.9408000000000003</v>
      </c>
    </row>
    <row r="85" spans="1:7" ht="37.950000000000003" customHeight="1" x14ac:dyDescent="0.2">
      <c r="A85" s="118" t="s">
        <v>134</v>
      </c>
      <c r="B85" s="118"/>
      <c r="C85" s="118"/>
      <c r="D85" s="118"/>
      <c r="E85" s="118"/>
      <c r="F85" s="118"/>
      <c r="G85" s="118"/>
    </row>
  </sheetData>
  <mergeCells count="2">
    <mergeCell ref="A1:D1"/>
    <mergeCell ref="A85:G85"/>
  </mergeCells>
  <hyperlinks>
    <hyperlink ref="A4" location="Soja_Safra_GMO_bra!A1" display="Soja_Safra_bra" xr:uid="{0642FC7B-1958-4168-9E4E-1070EF985B4C}"/>
    <hyperlink ref="A3" location="Soja_GMO_MT!A1" display="Soja_Safra_GMO_MT" xr:uid="{51DFC88F-EB7D-4A64-B4C0-7F6AB6415659}"/>
    <hyperlink ref="A5" location="Soja_Safra_GMO_port!A1" display="Soja_Safra_port" xr:uid="{97D0C581-0EF0-4985-8C8A-37C52F724149}"/>
    <hyperlink ref="A6" location="Soja_Safra_GMO_dia!A1" display="Soja_Safra_dia" xr:uid="{F71CF004-CFD9-42A7-892F-6FB6F7976950}"/>
    <hyperlink ref="A7" location="Soja_Safra_GMO_tan!A1" display="Soja_Safra_tan" xr:uid="{E5A5475B-90A0-4C1E-BE3A-871B19A31836}"/>
    <hyperlink ref="A8" location="Soja_Safra_GMO_sin!A1" display="Soja_Safra_sin" xr:uid="{33B7EBA3-FB2B-41C9-A517-E110269B0686}"/>
    <hyperlink ref="A9" location="Soja_Safra_GMO_sor!A1" display="Soja_Safra_sor" xr:uid="{CB42526C-B5D3-4CF1-A0F0-5DAFCED1A15B}"/>
    <hyperlink ref="A10" location="Soja_Safra_GMO_nom!A1" display="Soja_Safra_nom" xr:uid="{D27DFF98-9112-4D60-B29C-4623253DAB2E}"/>
    <hyperlink ref="A11" location="Soja_Safra_GMO_can!A1" display="Soja_Safra_can" xr:uid="{03ACFD1C-EF8F-4625-81E2-9FF00C317FC1}"/>
    <hyperlink ref="A12" location="Soja_Safra_GMO_que!A1" display="Soja_Safra_que" xr:uid="{874EE1D1-98BF-44E1-AC21-199FD49BE28E}"/>
    <hyperlink ref="A13" location="Soja_Safra_GMO_mat!A1" display="Soja_Safra_mat" xr:uid="{AE0DFCF0-5148-4372-9782-E9C74956F740}"/>
    <hyperlink ref="A14" location="Soja_Safra_GMO_mar!A1" display="Soja_Safra_mar" xr:uid="{E184F419-CF43-4172-A536-DBC8830253E0}"/>
    <hyperlink ref="A16" location="Soja_Safra_GMO_cnp!A1" display="Soja_Safra_cnp" xr:uid="{C2E89DF7-5011-412C-BF51-FF995D24E366}"/>
    <hyperlink ref="A17" location="Soja_Safra_GMO_sap!A1" display="Soja_Safra_sap" xr:uid="{01DE0D0F-30B0-4A64-B0BF-2894594638B0}"/>
    <hyperlink ref="A18" location="Soja_Safra_GMO_pri!A1" display="Soja_Safra_pri" xr:uid="{B1AE17D0-CDB6-4FFA-B235-5DEA10469C2F}"/>
    <hyperlink ref="A19" location="Soja_Safra_GMO_par!A1" display="Soja_Safra_par" xr:uid="{BDDC8614-41AD-43BE-8972-10A7E6797816}"/>
    <hyperlink ref="A15" location="Soja_Safra_GMO_afl!A1" display="Soja_Safra_GMO_afl" xr:uid="{B8DBBD89-585C-433D-BB86-0E3842A3738B}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1425-1647-4E06-8F04-47C281A92E0F}">
  <dimension ref="A1:T84"/>
  <sheetViews>
    <sheetView showGridLines="0" tabSelected="1" zoomScaleNormal="100" workbookViewId="0">
      <selection activeCell="I12" sqref="I12"/>
    </sheetView>
  </sheetViews>
  <sheetFormatPr defaultColWidth="0" defaultRowHeight="15" customHeight="1" zeroHeight="1" x14ac:dyDescent="0.2"/>
  <cols>
    <col min="1" max="1" width="39.88671875" style="7" customWidth="1"/>
    <col min="2" max="6" width="13.88671875" style="7" bestFit="1" customWidth="1"/>
    <col min="7" max="7" width="12" style="7" bestFit="1" customWidth="1"/>
    <col min="8" max="8" width="12.88671875" style="7" bestFit="1" customWidth="1"/>
    <col min="9" max="9" width="17.5546875" style="7" customWidth="1"/>
    <col min="10" max="11" width="9.33203125" style="7" hidden="1" customWidth="1"/>
    <col min="12" max="12" width="8.6640625" style="7" hidden="1" customWidth="1"/>
    <col min="13" max="20" width="0" style="7" hidden="1" customWidth="1"/>
    <col min="21" max="16384" width="9.33203125" style="7" hidden="1"/>
  </cols>
  <sheetData>
    <row r="1" spans="1:9" ht="15" customHeight="1" x14ac:dyDescent="0.2">
      <c r="A1" s="6"/>
      <c r="B1" s="6"/>
      <c r="C1" s="6"/>
      <c r="D1" s="6"/>
      <c r="E1" s="6"/>
      <c r="F1" s="6"/>
      <c r="G1" s="6"/>
      <c r="H1" s="6"/>
      <c r="I1" s="6"/>
    </row>
    <row r="2" spans="1:9" ht="17.100000000000001" customHeight="1" x14ac:dyDescent="0.2">
      <c r="A2" s="120" t="s">
        <v>142</v>
      </c>
      <c r="B2" s="120"/>
      <c r="C2" s="120"/>
      <c r="D2" s="120"/>
      <c r="E2" s="120"/>
      <c r="F2" s="120"/>
      <c r="G2" s="120"/>
      <c r="H2" s="120"/>
      <c r="I2" s="120"/>
    </row>
    <row r="3" spans="1:9" ht="20.100000000000001" customHeight="1" x14ac:dyDescent="0.2">
      <c r="A3" s="120" t="s">
        <v>69</v>
      </c>
      <c r="B3" s="120"/>
      <c r="C3" s="120"/>
      <c r="D3" s="120"/>
      <c r="E3" s="120"/>
      <c r="F3" s="120"/>
      <c r="G3" s="120"/>
      <c r="H3" s="120"/>
      <c r="I3" s="120"/>
    </row>
    <row r="4" spans="1:9" ht="20.7" customHeight="1" x14ac:dyDescent="0.2">
      <c r="A4" s="120" t="s">
        <v>70</v>
      </c>
      <c r="B4" s="120"/>
      <c r="C4" s="120"/>
      <c r="D4" s="120"/>
      <c r="E4" s="120"/>
      <c r="F4" s="120"/>
      <c r="G4" s="120"/>
      <c r="H4" s="120"/>
      <c r="I4" s="120"/>
    </row>
    <row r="5" spans="1:9" ht="13.5" customHeight="1" x14ac:dyDescent="0.2">
      <c r="A5" s="8"/>
      <c r="B5" s="8"/>
      <c r="C5" s="8"/>
      <c r="D5" s="8"/>
      <c r="E5" s="8"/>
      <c r="F5" s="8"/>
      <c r="G5" s="8"/>
      <c r="H5" s="8"/>
      <c r="I5" s="8"/>
    </row>
    <row r="6" spans="1:9" x14ac:dyDescent="0.3">
      <c r="A6" s="9" t="s">
        <v>2</v>
      </c>
      <c r="B6" s="10" t="s">
        <v>72</v>
      </c>
      <c r="C6" s="10" t="s">
        <v>73</v>
      </c>
      <c r="D6" s="10" t="s">
        <v>74</v>
      </c>
      <c r="E6" s="10" t="s">
        <v>135</v>
      </c>
      <c r="F6" s="11" t="s">
        <v>132</v>
      </c>
      <c r="G6" s="42" t="s">
        <v>140</v>
      </c>
      <c r="H6" s="42" t="s">
        <v>140</v>
      </c>
      <c r="I6" s="43" t="s">
        <v>65</v>
      </c>
    </row>
    <row r="7" spans="1:9" x14ac:dyDescent="0.3">
      <c r="A7" s="9" t="s">
        <v>0</v>
      </c>
      <c r="B7" s="10">
        <v>2021</v>
      </c>
      <c r="C7" s="10">
        <v>2022</v>
      </c>
      <c r="D7" s="10">
        <v>2023</v>
      </c>
      <c r="E7" s="10">
        <v>2024</v>
      </c>
      <c r="F7" s="11">
        <v>2025</v>
      </c>
      <c r="G7" s="44">
        <v>2026</v>
      </c>
      <c r="H7" s="44">
        <v>2026</v>
      </c>
      <c r="I7" s="12" t="s">
        <v>146</v>
      </c>
    </row>
    <row r="8" spans="1:9" x14ac:dyDescent="0.3">
      <c r="A8" s="13" t="s">
        <v>1</v>
      </c>
      <c r="B8" s="14" t="s">
        <v>64</v>
      </c>
      <c r="C8" s="14" t="s">
        <v>64</v>
      </c>
      <c r="D8" s="14" t="s">
        <v>64</v>
      </c>
      <c r="E8" s="14" t="s">
        <v>64</v>
      </c>
      <c r="F8" s="115" t="s">
        <v>64</v>
      </c>
      <c r="G8" s="45" t="s">
        <v>144</v>
      </c>
      <c r="H8" s="45" t="s">
        <v>147</v>
      </c>
      <c r="I8" s="12" t="s">
        <v>145</v>
      </c>
    </row>
    <row r="9" spans="1:9" x14ac:dyDescent="0.3">
      <c r="A9" s="15" t="s">
        <v>128</v>
      </c>
      <c r="B9" s="16">
        <v>2936.5610510832316</v>
      </c>
      <c r="C9" s="17">
        <v>4910.2390571567394</v>
      </c>
      <c r="D9" s="16">
        <v>4124.4736975949663</v>
      </c>
      <c r="E9" s="16">
        <v>3969.8955518337534</v>
      </c>
      <c r="F9" s="34">
        <v>4181.2644597575563</v>
      </c>
      <c r="G9" s="46">
        <v>4156.029557169044</v>
      </c>
      <c r="H9" s="46">
        <v>4151.0601619575273</v>
      </c>
      <c r="I9" s="104">
        <f>IFERROR(H9/G9-1,"-")</f>
        <v>-1.1957073796418083E-3</v>
      </c>
    </row>
    <row r="10" spans="1:9" x14ac:dyDescent="0.3">
      <c r="A10" s="18" t="s">
        <v>3</v>
      </c>
      <c r="B10" s="19">
        <v>494.94707573814952</v>
      </c>
      <c r="C10" s="19">
        <v>832.66932795188507</v>
      </c>
      <c r="D10" s="19">
        <v>668.37167136354822</v>
      </c>
      <c r="E10" s="19">
        <v>678.16759716289675</v>
      </c>
      <c r="F10" s="20">
        <v>607.19356893895292</v>
      </c>
      <c r="G10" s="47">
        <v>498.10933664521144</v>
      </c>
      <c r="H10" s="47">
        <v>487.83912993896325</v>
      </c>
      <c r="I10" s="105">
        <f t="shared" ref="I10:I21" si="0">IFERROR(H10/G10-1,"-")</f>
        <v>-2.0618378236831436E-2</v>
      </c>
    </row>
    <row r="11" spans="1:9" ht="13.2" x14ac:dyDescent="0.2">
      <c r="A11" s="21" t="s">
        <v>4</v>
      </c>
      <c r="B11" s="22">
        <v>462.67201971263864</v>
      </c>
      <c r="C11" s="22">
        <v>783.45643122984325</v>
      </c>
      <c r="D11" s="22">
        <v>610.08197775358815</v>
      </c>
      <c r="E11" s="22">
        <v>634.5816285416031</v>
      </c>
      <c r="F11" s="23">
        <v>571.23530007273928</v>
      </c>
      <c r="G11" s="48">
        <v>482.70934839823838</v>
      </c>
      <c r="H11" s="48">
        <v>473.19292285908648</v>
      </c>
      <c r="I11" s="106">
        <f t="shared" si="0"/>
        <v>-1.9714607912048931E-2</v>
      </c>
    </row>
    <row r="12" spans="1:9" ht="13.2" x14ac:dyDescent="0.2">
      <c r="A12" s="24" t="s">
        <v>5</v>
      </c>
      <c r="B12" s="25">
        <v>32.275056025510835</v>
      </c>
      <c r="C12" s="25">
        <v>49.212896722041791</v>
      </c>
      <c r="D12" s="25">
        <v>58.289693609960196</v>
      </c>
      <c r="E12" s="25">
        <v>43.58596862129361</v>
      </c>
      <c r="F12" s="26">
        <v>35.958268866213707</v>
      </c>
      <c r="G12" s="48">
        <v>15.399988246973169</v>
      </c>
      <c r="H12" s="48">
        <v>14.646207079876806</v>
      </c>
      <c r="I12" s="106">
        <f t="shared" si="0"/>
        <v>-4.8946866387675203E-2</v>
      </c>
    </row>
    <row r="13" spans="1:9" x14ac:dyDescent="0.3">
      <c r="A13" s="27" t="s">
        <v>6</v>
      </c>
      <c r="B13" s="28">
        <v>1141.0907437754597</v>
      </c>
      <c r="C13" s="28">
        <v>2417.2877634350625</v>
      </c>
      <c r="D13" s="28">
        <v>1804.9987345863467</v>
      </c>
      <c r="E13" s="28">
        <v>1719.9024859981166</v>
      </c>
      <c r="F13" s="29">
        <v>1880.8264591362031</v>
      </c>
      <c r="G13" s="47">
        <v>1853.4215665868867</v>
      </c>
      <c r="H13" s="47">
        <v>1857.8067255242252</v>
      </c>
      <c r="I13" s="105">
        <f t="shared" si="0"/>
        <v>2.365980312516669E-3</v>
      </c>
    </row>
    <row r="14" spans="1:9" ht="13.2" x14ac:dyDescent="0.2">
      <c r="A14" s="24" t="s">
        <v>7</v>
      </c>
      <c r="B14" s="25">
        <v>68.452298537040733</v>
      </c>
      <c r="C14" s="25">
        <v>103.04811661357245</v>
      </c>
      <c r="D14" s="25">
        <v>139.65023546760906</v>
      </c>
      <c r="E14" s="25">
        <v>195.81881105421874</v>
      </c>
      <c r="F14" s="26">
        <v>223.26936088048558</v>
      </c>
      <c r="G14" s="48">
        <v>270.49835852762476</v>
      </c>
      <c r="H14" s="48">
        <v>271.18237579856662</v>
      </c>
      <c r="I14" s="106">
        <f t="shared" si="0"/>
        <v>2.5287298402294489E-3</v>
      </c>
    </row>
    <row r="15" spans="1:9" ht="13.2" x14ac:dyDescent="0.2">
      <c r="A15" s="21" t="s">
        <v>8</v>
      </c>
      <c r="B15" s="22">
        <v>1028.9587503957712</v>
      </c>
      <c r="C15" s="22">
        <v>2253.3175843795443</v>
      </c>
      <c r="D15" s="22">
        <v>1546.302579567769</v>
      </c>
      <c r="E15" s="22">
        <v>1395.4946141990006</v>
      </c>
      <c r="F15" s="23">
        <v>1523.741888242811</v>
      </c>
      <c r="G15" s="48">
        <v>1474.4000900179392</v>
      </c>
      <c r="H15" s="48">
        <v>1478.4072712618408</v>
      </c>
      <c r="I15" s="106">
        <f t="shared" si="0"/>
        <v>2.7178384422459345E-3</v>
      </c>
    </row>
    <row r="16" spans="1:9" ht="13.2" x14ac:dyDescent="0.2">
      <c r="A16" s="24" t="s">
        <v>9</v>
      </c>
      <c r="B16" s="25">
        <v>43.679694842647116</v>
      </c>
      <c r="C16" s="25">
        <v>60.922062441945187</v>
      </c>
      <c r="D16" s="25">
        <v>119.04591955096853</v>
      </c>
      <c r="E16" s="25">
        <v>128.58906074489721</v>
      </c>
      <c r="F16" s="26">
        <v>133.81521001290645</v>
      </c>
      <c r="G16" s="48">
        <v>108.523118041323</v>
      </c>
      <c r="H16" s="48">
        <v>108.21707846381767</v>
      </c>
      <c r="I16" s="106">
        <f t="shared" si="0"/>
        <v>-2.8200404027167725E-3</v>
      </c>
    </row>
    <row r="17" spans="1:9" x14ac:dyDescent="0.3">
      <c r="A17" s="27" t="s">
        <v>10</v>
      </c>
      <c r="B17" s="28">
        <v>1077.8434888687952</v>
      </c>
      <c r="C17" s="28">
        <v>1372.9997344181236</v>
      </c>
      <c r="D17" s="28">
        <v>1304.8122873847208</v>
      </c>
      <c r="E17" s="28">
        <v>1162.5666778936115</v>
      </c>
      <c r="F17" s="29">
        <v>1217.5949119444424</v>
      </c>
      <c r="G17" s="47">
        <v>1309.638862280264</v>
      </c>
      <c r="H17" s="47">
        <v>1309.0132513190854</v>
      </c>
      <c r="I17" s="105">
        <f t="shared" si="0"/>
        <v>-4.776973096913828E-4</v>
      </c>
    </row>
    <row r="18" spans="1:9" ht="13.2" x14ac:dyDescent="0.2">
      <c r="A18" s="24" t="s">
        <v>11</v>
      </c>
      <c r="B18" s="25">
        <v>360.80231506591338</v>
      </c>
      <c r="C18" s="25">
        <v>426.39471802311567</v>
      </c>
      <c r="D18" s="25">
        <v>377.64284743075086</v>
      </c>
      <c r="E18" s="25">
        <v>427.92588324193855</v>
      </c>
      <c r="F18" s="26">
        <v>444.69824361003862</v>
      </c>
      <c r="G18" s="48">
        <v>501.63613336608972</v>
      </c>
      <c r="H18" s="48">
        <v>499.70637229526398</v>
      </c>
      <c r="I18" s="106">
        <f t="shared" si="0"/>
        <v>-3.8469339476736586E-3</v>
      </c>
    </row>
    <row r="19" spans="1:9" ht="13.2" x14ac:dyDescent="0.2">
      <c r="A19" s="21" t="s">
        <v>12</v>
      </c>
      <c r="B19" s="22">
        <v>222.5701716465073</v>
      </c>
      <c r="C19" s="22">
        <v>351.96606773748391</v>
      </c>
      <c r="D19" s="22">
        <v>301.8671720765978</v>
      </c>
      <c r="E19" s="22">
        <v>210.84706639621774</v>
      </c>
      <c r="F19" s="23">
        <v>184.22469190161249</v>
      </c>
      <c r="G19" s="48">
        <v>252.67148768175838</v>
      </c>
      <c r="H19" s="48">
        <v>253.67502597385328</v>
      </c>
      <c r="I19" s="106">
        <f t="shared" si="0"/>
        <v>3.9717116533499741E-3</v>
      </c>
    </row>
    <row r="20" spans="1:9" ht="13.2" x14ac:dyDescent="0.2">
      <c r="A20" s="24" t="s">
        <v>13</v>
      </c>
      <c r="B20" s="25">
        <v>426.46134538422154</v>
      </c>
      <c r="C20" s="25">
        <v>509.53686371763405</v>
      </c>
      <c r="D20" s="25">
        <v>506.32445378231085</v>
      </c>
      <c r="E20" s="25">
        <v>407.14269443280392</v>
      </c>
      <c r="F20" s="26">
        <v>411.0173474651632</v>
      </c>
      <c r="G20" s="48">
        <v>410.3837813631709</v>
      </c>
      <c r="H20" s="48">
        <v>410.25090709320733</v>
      </c>
      <c r="I20" s="106">
        <f t="shared" si="0"/>
        <v>-3.237805098490476E-4</v>
      </c>
    </row>
    <row r="21" spans="1:9" ht="13.2" x14ac:dyDescent="0.2">
      <c r="A21" s="21" t="s">
        <v>14</v>
      </c>
      <c r="B21" s="22">
        <v>68.009656772153036</v>
      </c>
      <c r="C21" s="22">
        <v>85.102084939889821</v>
      </c>
      <c r="D21" s="22">
        <v>118.97781409506142</v>
      </c>
      <c r="E21" s="22">
        <v>116.65103382265153</v>
      </c>
      <c r="F21" s="23">
        <v>177.65462896762813</v>
      </c>
      <c r="G21" s="48">
        <v>144.94745986924502</v>
      </c>
      <c r="H21" s="48">
        <v>145.38094595676051</v>
      </c>
      <c r="I21" s="106">
        <f t="shared" si="0"/>
        <v>2.990642870916993E-3</v>
      </c>
    </row>
    <row r="22" spans="1:9" x14ac:dyDescent="0.3">
      <c r="A22" s="27" t="s">
        <v>129</v>
      </c>
      <c r="B22" s="28">
        <v>121.97207142067556</v>
      </c>
      <c r="C22" s="28">
        <v>179.92499790624959</v>
      </c>
      <c r="D22" s="28">
        <v>180.32545783071944</v>
      </c>
      <c r="E22" s="28">
        <v>183.21824894231631</v>
      </c>
      <c r="F22" s="29">
        <v>0</v>
      </c>
      <c r="G22" s="47">
        <v>203.53052604952376</v>
      </c>
      <c r="H22" s="47">
        <v>204.56085251911</v>
      </c>
      <c r="I22" s="105">
        <f t="shared" ref="I22:I53" si="1">IFERROR(H22/G22-1,"-")</f>
        <v>5.0622699679729877E-3</v>
      </c>
    </row>
    <row r="23" spans="1:9" ht="13.2" x14ac:dyDescent="0.2">
      <c r="A23" s="24" t="s">
        <v>15</v>
      </c>
      <c r="B23" s="25">
        <v>15.036843412639517</v>
      </c>
      <c r="C23" s="25">
        <v>21.390032703915587</v>
      </c>
      <c r="D23" s="25">
        <v>19.94916531666231</v>
      </c>
      <c r="E23" s="25">
        <v>21.850410324863073</v>
      </c>
      <c r="F23" s="26">
        <v>176.3871851533066</v>
      </c>
      <c r="G23" s="48">
        <v>26.940462071544161</v>
      </c>
      <c r="H23" s="48">
        <v>27.098619886873166</v>
      </c>
      <c r="I23" s="106">
        <f t="shared" si="1"/>
        <v>5.8706422669736469E-3</v>
      </c>
    </row>
    <row r="24" spans="1:9" ht="13.2" x14ac:dyDescent="0.2">
      <c r="A24" s="21" t="s">
        <v>16</v>
      </c>
      <c r="B24" s="22">
        <v>31.478610115628783</v>
      </c>
      <c r="C24" s="22">
        <v>47.160016833041517</v>
      </c>
      <c r="D24" s="22">
        <v>51.494834748013695</v>
      </c>
      <c r="E24" s="22">
        <v>52.701286859737799</v>
      </c>
      <c r="F24" s="23">
        <v>17.922308640638931</v>
      </c>
      <c r="G24" s="48">
        <v>59.050529018681146</v>
      </c>
      <c r="H24" s="48">
        <v>59.337173675175137</v>
      </c>
      <c r="I24" s="106">
        <f t="shared" si="1"/>
        <v>4.8542267318774091E-3</v>
      </c>
    </row>
    <row r="25" spans="1:9" ht="13.2" x14ac:dyDescent="0.2">
      <c r="A25" s="24" t="s">
        <v>17</v>
      </c>
      <c r="B25" s="25">
        <v>26.091185381479335</v>
      </c>
      <c r="C25" s="25">
        <v>39.161769536842407</v>
      </c>
      <c r="D25" s="25">
        <v>35.756922547506832</v>
      </c>
      <c r="E25" s="25">
        <v>36.202760784999249</v>
      </c>
      <c r="F25" s="26">
        <v>54.372746243757227</v>
      </c>
      <c r="G25" s="48">
        <v>42.165206504888793</v>
      </c>
      <c r="H25" s="48">
        <v>42.369116047114787</v>
      </c>
      <c r="I25" s="106">
        <f t="shared" si="1"/>
        <v>4.8359668818971357E-3</v>
      </c>
    </row>
    <row r="26" spans="1:9" ht="13.2" x14ac:dyDescent="0.2">
      <c r="A26" s="21" t="s">
        <v>61</v>
      </c>
      <c r="B26" s="22">
        <v>0</v>
      </c>
      <c r="C26" s="22">
        <v>0</v>
      </c>
      <c r="D26" s="22">
        <v>0</v>
      </c>
      <c r="E26" s="22">
        <v>0</v>
      </c>
      <c r="F26" s="23">
        <v>35.641021237125258</v>
      </c>
      <c r="G26" s="48">
        <v>0</v>
      </c>
      <c r="H26" s="48">
        <v>0</v>
      </c>
      <c r="I26" s="106" t="str">
        <f t="shared" si="1"/>
        <v>-</v>
      </c>
    </row>
    <row r="27" spans="1:9" ht="13.2" x14ac:dyDescent="0.2">
      <c r="A27" s="24" t="s">
        <v>18</v>
      </c>
      <c r="B27" s="25">
        <v>49.340491376893603</v>
      </c>
      <c r="C27" s="25">
        <v>72.17438027404161</v>
      </c>
      <c r="D27" s="25">
        <v>73.092640698291135</v>
      </c>
      <c r="E27" s="25">
        <v>72.434445806107448</v>
      </c>
      <c r="F27" s="116">
        <v>68.419085425050639</v>
      </c>
      <c r="G27" s="48">
        <v>75.374328454409664</v>
      </c>
      <c r="H27" s="48">
        <v>75.75594290994691</v>
      </c>
      <c r="I27" s="106">
        <f t="shared" si="1"/>
        <v>5.0629234563339676E-3</v>
      </c>
    </row>
    <row r="28" spans="1:9" ht="13.2" x14ac:dyDescent="0.2">
      <c r="A28" s="21" t="s">
        <v>19</v>
      </c>
      <c r="B28" s="22">
        <v>2.4941134034311377E-2</v>
      </c>
      <c r="C28" s="22">
        <v>3.8798558408452012E-2</v>
      </c>
      <c r="D28" s="22">
        <v>3.1894520245492365E-2</v>
      </c>
      <c r="E28" s="22">
        <v>2.9345166608745941E-2</v>
      </c>
      <c r="F28" s="23">
        <v>3.202360673456299E-2</v>
      </c>
      <c r="G28" s="48">
        <v>0</v>
      </c>
      <c r="H28" s="48">
        <v>0</v>
      </c>
      <c r="I28" s="106" t="str">
        <f t="shared" si="1"/>
        <v>-</v>
      </c>
    </row>
    <row r="29" spans="1:9" x14ac:dyDescent="0.3">
      <c r="A29" s="18" t="s">
        <v>130</v>
      </c>
      <c r="B29" s="19">
        <v>0</v>
      </c>
      <c r="C29" s="19">
        <v>0</v>
      </c>
      <c r="D29" s="19">
        <v>15.501617536710697</v>
      </c>
      <c r="E29" s="19">
        <v>17.841499190120501</v>
      </c>
      <c r="F29" s="20">
        <v>24.687189731685972</v>
      </c>
      <c r="G29" s="47">
        <v>0</v>
      </c>
      <c r="H29" s="47">
        <v>0</v>
      </c>
      <c r="I29" s="105" t="str">
        <f t="shared" si="1"/>
        <v>-</v>
      </c>
    </row>
    <row r="30" spans="1:9" ht="13.2" x14ac:dyDescent="0.2">
      <c r="A30" s="21" t="s">
        <v>20</v>
      </c>
      <c r="B30" s="22">
        <v>0</v>
      </c>
      <c r="C30" s="22">
        <v>0</v>
      </c>
      <c r="D30" s="22">
        <v>15.501617536710697</v>
      </c>
      <c r="E30" s="22">
        <v>17.841499190120501</v>
      </c>
      <c r="F30" s="23">
        <v>24.687189731685972</v>
      </c>
      <c r="G30" s="48">
        <v>0</v>
      </c>
      <c r="H30" s="48">
        <v>0</v>
      </c>
      <c r="I30" s="106" t="str">
        <f t="shared" si="1"/>
        <v>-</v>
      </c>
    </row>
    <row r="31" spans="1:9" x14ac:dyDescent="0.3">
      <c r="A31" s="18" t="s">
        <v>131</v>
      </c>
      <c r="B31" s="19">
        <v>100.70767128015218</v>
      </c>
      <c r="C31" s="19">
        <v>107.35723344541843</v>
      </c>
      <c r="D31" s="19">
        <v>150.46392889291997</v>
      </c>
      <c r="E31" s="19">
        <v>208.19904264669137</v>
      </c>
      <c r="F31" s="20">
        <v>274.57514485296423</v>
      </c>
      <c r="G31" s="47">
        <v>291.32926560715742</v>
      </c>
      <c r="H31" s="47">
        <v>291.84020265614311</v>
      </c>
      <c r="I31" s="105">
        <f t="shared" si="1"/>
        <v>1.7538129851830675E-3</v>
      </c>
    </row>
    <row r="32" spans="1:9" ht="13.2" x14ac:dyDescent="0.2">
      <c r="A32" s="21" t="s">
        <v>21</v>
      </c>
      <c r="B32" s="22">
        <v>89.641721650808918</v>
      </c>
      <c r="C32" s="22">
        <v>96.400698541069247</v>
      </c>
      <c r="D32" s="22">
        <v>135.80890894128166</v>
      </c>
      <c r="E32" s="22">
        <v>186.79015697093703</v>
      </c>
      <c r="F32" s="23">
        <v>245.2649335903013</v>
      </c>
      <c r="G32" s="48">
        <v>258.47579403238296</v>
      </c>
      <c r="H32" s="48">
        <v>258.89976670039852</v>
      </c>
      <c r="I32" s="106">
        <f t="shared" si="1"/>
        <v>1.6402799712937899E-3</v>
      </c>
    </row>
    <row r="33" spans="1:20" ht="13.2" x14ac:dyDescent="0.2">
      <c r="A33" s="24" t="s">
        <v>22</v>
      </c>
      <c r="B33" s="25">
        <v>11.065949629343255</v>
      </c>
      <c r="C33" s="25">
        <v>10.956534904349203</v>
      </c>
      <c r="D33" s="25">
        <v>14.655019951638321</v>
      </c>
      <c r="E33" s="25">
        <v>21.408885675754302</v>
      </c>
      <c r="F33" s="26">
        <v>29.310211262662925</v>
      </c>
      <c r="G33" s="48">
        <v>32.853471574774446</v>
      </c>
      <c r="H33" s="48">
        <v>32.940435955744512</v>
      </c>
      <c r="I33" s="106">
        <f t="shared" si="1"/>
        <v>2.6470377954468383E-3</v>
      </c>
    </row>
    <row r="34" spans="1:20" x14ac:dyDescent="0.3">
      <c r="A34" s="27" t="s">
        <v>23</v>
      </c>
      <c r="B34" s="28">
        <v>113.73294407671155</v>
      </c>
      <c r="C34" s="28">
        <v>114.90347070875086</v>
      </c>
      <c r="D34" s="28">
        <v>197.24816183282323</v>
      </c>
      <c r="E34" s="28">
        <v>263.24795530621407</v>
      </c>
      <c r="F34" s="29">
        <v>262.85030318770328</v>
      </c>
      <c r="G34" s="47">
        <v>310.68062121972878</v>
      </c>
      <c r="H34" s="47">
        <v>310.68062121972878</v>
      </c>
      <c r="I34" s="105">
        <f t="shared" si="1"/>
        <v>0</v>
      </c>
      <c r="T34" s="30"/>
    </row>
    <row r="35" spans="1:20" ht="14.4" x14ac:dyDescent="0.3">
      <c r="A35" s="24" t="s">
        <v>24</v>
      </c>
      <c r="B35" s="25">
        <v>110.35806104146245</v>
      </c>
      <c r="C35" s="25">
        <v>111.47555728419175</v>
      </c>
      <c r="D35" s="25">
        <v>192.44289081665607</v>
      </c>
      <c r="E35" s="25">
        <v>257.70309690604233</v>
      </c>
      <c r="F35" s="26">
        <v>255.19040998642262</v>
      </c>
      <c r="G35" s="48">
        <v>302.86036627328411</v>
      </c>
      <c r="H35" s="48">
        <v>302.86036627328411</v>
      </c>
      <c r="I35" s="106">
        <f t="shared" si="1"/>
        <v>0</v>
      </c>
      <c r="T35" s="31"/>
    </row>
    <row r="36" spans="1:20" ht="14.4" x14ac:dyDescent="0.3">
      <c r="A36" s="21" t="s">
        <v>25</v>
      </c>
      <c r="B36" s="22">
        <v>3.3748830352490846</v>
      </c>
      <c r="C36" s="22">
        <v>3.4279134245591103</v>
      </c>
      <c r="D36" s="22">
        <v>4.8052710161671532</v>
      </c>
      <c r="E36" s="22">
        <v>5.5448584001717407</v>
      </c>
      <c r="F36" s="23">
        <v>7.6598932012806848</v>
      </c>
      <c r="G36" s="48">
        <v>7.8202549464446269</v>
      </c>
      <c r="H36" s="48">
        <v>7.8202549464446269</v>
      </c>
      <c r="I36" s="106">
        <f t="shared" si="1"/>
        <v>0</v>
      </c>
      <c r="T36" s="32"/>
    </row>
    <row r="37" spans="1:20" x14ac:dyDescent="0.3">
      <c r="A37" s="18" t="s">
        <v>26</v>
      </c>
      <c r="B37" s="19">
        <v>166.73936187447032</v>
      </c>
      <c r="C37" s="19">
        <v>193.27421412874889</v>
      </c>
      <c r="D37" s="19">
        <v>207.89206497699112</v>
      </c>
      <c r="E37" s="19">
        <v>235.71863423516231</v>
      </c>
      <c r="F37" s="20">
        <v>238.35070329385556</v>
      </c>
      <c r="G37" s="47">
        <v>269.5099418003677</v>
      </c>
      <c r="H37" s="47">
        <v>269.60148407120465</v>
      </c>
      <c r="I37" s="105">
        <f t="shared" si="1"/>
        <v>3.3966194428836083E-4</v>
      </c>
    </row>
    <row r="38" spans="1:20" ht="13.2" x14ac:dyDescent="0.2">
      <c r="A38" s="21" t="s">
        <v>27</v>
      </c>
      <c r="B38" s="22">
        <v>17.944282898465683</v>
      </c>
      <c r="C38" s="22">
        <v>19.174822685376167</v>
      </c>
      <c r="D38" s="22">
        <v>26.838777453443669</v>
      </c>
      <c r="E38" s="22">
        <v>44.606828267298738</v>
      </c>
      <c r="F38" s="23">
        <v>54.703760352675872</v>
      </c>
      <c r="G38" s="48">
        <v>59.708949398632477</v>
      </c>
      <c r="H38" s="48">
        <v>59.795422253895758</v>
      </c>
      <c r="I38" s="106">
        <f t="shared" si="1"/>
        <v>1.4482394370392004E-3</v>
      </c>
    </row>
    <row r="39" spans="1:20" ht="13.2" x14ac:dyDescent="0.2">
      <c r="A39" s="24" t="s">
        <v>28</v>
      </c>
      <c r="B39" s="25">
        <v>64.838758862897208</v>
      </c>
      <c r="C39" s="25">
        <v>76.764971963943765</v>
      </c>
      <c r="D39" s="25">
        <v>80.131583681813396</v>
      </c>
      <c r="E39" s="25">
        <v>84.730419897932521</v>
      </c>
      <c r="F39" s="26">
        <v>81.258602589629206</v>
      </c>
      <c r="G39" s="48">
        <v>93.432500904286599</v>
      </c>
      <c r="H39" s="48">
        <v>93.432500904286599</v>
      </c>
      <c r="I39" s="106">
        <f t="shared" si="1"/>
        <v>0</v>
      </c>
    </row>
    <row r="40" spans="1:20" ht="13.2" x14ac:dyDescent="0.2">
      <c r="A40" s="21" t="s">
        <v>29</v>
      </c>
      <c r="B40" s="22">
        <v>64.838758862897208</v>
      </c>
      <c r="C40" s="22">
        <v>76.764971963943765</v>
      </c>
      <c r="D40" s="22">
        <v>80.131583681813396</v>
      </c>
      <c r="E40" s="22">
        <v>84.730419897932521</v>
      </c>
      <c r="F40" s="23">
        <v>81.258602589629206</v>
      </c>
      <c r="G40" s="48">
        <v>93.432500904286599</v>
      </c>
      <c r="H40" s="48">
        <v>93.432500904286599</v>
      </c>
      <c r="I40" s="106">
        <f t="shared" si="1"/>
        <v>0</v>
      </c>
    </row>
    <row r="41" spans="1:20" ht="13.2" x14ac:dyDescent="0.2">
      <c r="A41" s="24" t="s">
        <v>30</v>
      </c>
      <c r="B41" s="25">
        <v>6.0751212148169209</v>
      </c>
      <c r="C41" s="25">
        <v>6.0124762512461549</v>
      </c>
      <c r="D41" s="25">
        <v>4.4369336623258846</v>
      </c>
      <c r="E41" s="25">
        <v>4.0395889060006542</v>
      </c>
      <c r="F41" s="26">
        <v>4.1221195527744845</v>
      </c>
      <c r="G41" s="48">
        <v>5.2514450056888906</v>
      </c>
      <c r="H41" s="48">
        <v>5.2514450056888906</v>
      </c>
      <c r="I41" s="106">
        <f t="shared" si="1"/>
        <v>0</v>
      </c>
    </row>
    <row r="42" spans="1:20" ht="13.2" x14ac:dyDescent="0.2">
      <c r="A42" s="21" t="s">
        <v>31</v>
      </c>
      <c r="B42" s="22">
        <v>7.4826645302775114</v>
      </c>
      <c r="C42" s="22">
        <v>8.8490267767405637</v>
      </c>
      <c r="D42" s="22">
        <v>9.2221718295409509</v>
      </c>
      <c r="E42" s="22">
        <v>9.7535214932644312</v>
      </c>
      <c r="F42" s="23">
        <v>9.3596967693623245</v>
      </c>
      <c r="G42" s="48">
        <v>10.805184769249093</v>
      </c>
      <c r="H42" s="48">
        <v>10.807101496082099</v>
      </c>
      <c r="I42" s="106">
        <f t="shared" si="1"/>
        <v>1.7738954714219268E-4</v>
      </c>
    </row>
    <row r="43" spans="1:20" ht="13.2" x14ac:dyDescent="0.2">
      <c r="A43" s="24" t="s">
        <v>32</v>
      </c>
      <c r="B43" s="25">
        <v>5.5597755051158098</v>
      </c>
      <c r="C43" s="25">
        <v>5.707944487498497</v>
      </c>
      <c r="D43" s="25">
        <v>7.1310146680538322</v>
      </c>
      <c r="E43" s="25">
        <v>7.8578557727334566</v>
      </c>
      <c r="F43" s="26">
        <v>7.647921439784465</v>
      </c>
      <c r="G43" s="48">
        <v>6.8793608182240149</v>
      </c>
      <c r="H43" s="48">
        <v>6.8825135069646768</v>
      </c>
      <c r="I43" s="106">
        <f t="shared" si="1"/>
        <v>4.5828221893962073E-4</v>
      </c>
    </row>
    <row r="44" spans="1:20" x14ac:dyDescent="0.3">
      <c r="A44" s="27" t="s">
        <v>33</v>
      </c>
      <c r="B44" s="28">
        <v>287.39738411829438</v>
      </c>
      <c r="C44" s="28">
        <v>428.16070815087966</v>
      </c>
      <c r="D44" s="28">
        <v>433.25221648356126</v>
      </c>
      <c r="E44" s="28">
        <v>410.43610915417725</v>
      </c>
      <c r="F44" s="29">
        <v>432.31405389674507</v>
      </c>
      <c r="G44" s="47">
        <v>469.52443592804229</v>
      </c>
      <c r="H44" s="47">
        <v>468.64728627304322</v>
      </c>
      <c r="I44" s="105">
        <f t="shared" si="1"/>
        <v>-1.8681661440375086E-3</v>
      </c>
    </row>
    <row r="45" spans="1:20" ht="13.2" x14ac:dyDescent="0.2">
      <c r="A45" s="24" t="s">
        <v>34</v>
      </c>
      <c r="B45" s="25">
        <v>252.83742734111539</v>
      </c>
      <c r="C45" s="25">
        <v>382.55661138315685</v>
      </c>
      <c r="D45" s="25">
        <v>389.58071805430035</v>
      </c>
      <c r="E45" s="25">
        <v>365.95554387141362</v>
      </c>
      <c r="F45" s="26">
        <v>386.50137025245209</v>
      </c>
      <c r="G45" s="48">
        <v>409.71656902785674</v>
      </c>
      <c r="H45" s="48">
        <v>408.97359874451683</v>
      </c>
      <c r="I45" s="106">
        <f t="shared" si="1"/>
        <v>-1.8133762203046411E-3</v>
      </c>
    </row>
    <row r="46" spans="1:20" ht="13.2" x14ac:dyDescent="0.2">
      <c r="A46" s="21" t="s">
        <v>35</v>
      </c>
      <c r="B46" s="22">
        <v>21.153344841357487</v>
      </c>
      <c r="C46" s="22">
        <v>32.053473050840502</v>
      </c>
      <c r="D46" s="22">
        <v>14.062221151062593</v>
      </c>
      <c r="E46" s="22">
        <v>10.409331944255889</v>
      </c>
      <c r="F46" s="23">
        <v>12.915745846608353</v>
      </c>
      <c r="G46" s="48">
        <v>24.574676514518622</v>
      </c>
      <c r="H46" s="48">
        <v>24.564393740083659</v>
      </c>
      <c r="I46" s="106">
        <f t="shared" si="1"/>
        <v>-4.1842969647587491E-4</v>
      </c>
    </row>
    <row r="47" spans="1:20" ht="13.2" x14ac:dyDescent="0.2">
      <c r="A47" s="24" t="s">
        <v>36</v>
      </c>
      <c r="B47" s="25">
        <v>13.406611935821507</v>
      </c>
      <c r="C47" s="25">
        <v>13.550623716882301</v>
      </c>
      <c r="D47" s="25">
        <v>29.609277278198235</v>
      </c>
      <c r="E47" s="25">
        <v>34.071233338507639</v>
      </c>
      <c r="F47" s="26">
        <v>32.896937797684693</v>
      </c>
      <c r="G47" s="48">
        <v>35.23319038566693</v>
      </c>
      <c r="H47" s="48">
        <v>35.109293788442713</v>
      </c>
      <c r="I47" s="106">
        <f t="shared" si="1"/>
        <v>-3.5164739800179756E-3</v>
      </c>
    </row>
    <row r="48" spans="1:20" x14ac:dyDescent="0.3">
      <c r="A48" s="27" t="s">
        <v>37</v>
      </c>
      <c r="B48" s="28">
        <v>171.43997443180612</v>
      </c>
      <c r="C48" s="28">
        <v>177.41561101993796</v>
      </c>
      <c r="D48" s="28">
        <v>190.17870935583684</v>
      </c>
      <c r="E48" s="28">
        <v>190.33660966878023</v>
      </c>
      <c r="F48" s="29">
        <v>200.42884989731698</v>
      </c>
      <c r="G48" s="47">
        <v>207.82201962859722</v>
      </c>
      <c r="H48" s="47">
        <v>207.82201962859722</v>
      </c>
      <c r="I48" s="105">
        <f t="shared" si="1"/>
        <v>0</v>
      </c>
    </row>
    <row r="49" spans="1:9" ht="13.2" x14ac:dyDescent="0.2">
      <c r="A49" s="24" t="s">
        <v>62</v>
      </c>
      <c r="B49" s="25">
        <v>64.379771329635702</v>
      </c>
      <c r="C49" s="25">
        <v>68.184299064119401</v>
      </c>
      <c r="D49" s="25">
        <v>54.139981616236192</v>
      </c>
      <c r="E49" s="25">
        <v>41.733314522519947</v>
      </c>
      <c r="F49" s="26">
        <v>36.70980234045512</v>
      </c>
      <c r="G49" s="48">
        <v>19.942856910086906</v>
      </c>
      <c r="H49" s="48">
        <v>19.942856910086906</v>
      </c>
      <c r="I49" s="106">
        <f t="shared" si="1"/>
        <v>0</v>
      </c>
    </row>
    <row r="50" spans="1:9" ht="13.2" x14ac:dyDescent="0.2">
      <c r="A50" s="21" t="s">
        <v>38</v>
      </c>
      <c r="B50" s="22">
        <v>26.226262339562144</v>
      </c>
      <c r="C50" s="22">
        <v>26.836448871561068</v>
      </c>
      <c r="D50" s="22">
        <v>14.515462964804264</v>
      </c>
      <c r="E50" s="22">
        <v>8.1648523261847377</v>
      </c>
      <c r="F50" s="23">
        <v>21.580652459917978</v>
      </c>
      <c r="G50" s="48">
        <v>18.259330660494797</v>
      </c>
      <c r="H50" s="48">
        <v>18.259330660494797</v>
      </c>
      <c r="I50" s="106">
        <f t="shared" si="1"/>
        <v>0</v>
      </c>
    </row>
    <row r="51" spans="1:9" ht="13.2" x14ac:dyDescent="0.2">
      <c r="A51" s="24" t="s">
        <v>39</v>
      </c>
      <c r="B51" s="25">
        <v>80.833940762608279</v>
      </c>
      <c r="C51" s="25">
        <v>82.394863084257508</v>
      </c>
      <c r="D51" s="25">
        <v>121.52326477479637</v>
      </c>
      <c r="E51" s="25">
        <v>140.43844282007555</v>
      </c>
      <c r="F51" s="26">
        <v>142.13839509694387</v>
      </c>
      <c r="G51" s="48">
        <v>169.61983205801553</v>
      </c>
      <c r="H51" s="48">
        <v>169.61983205801553</v>
      </c>
      <c r="I51" s="106">
        <f t="shared" si="1"/>
        <v>0</v>
      </c>
    </row>
    <row r="52" spans="1:9" x14ac:dyDescent="0.3">
      <c r="A52" s="27" t="s">
        <v>40</v>
      </c>
      <c r="B52" s="28">
        <v>114.70334044638375</v>
      </c>
      <c r="C52" s="28">
        <v>141.38806635262259</v>
      </c>
      <c r="D52" s="28">
        <v>143.70630742731629</v>
      </c>
      <c r="E52" s="28">
        <v>133.8197105522691</v>
      </c>
      <c r="F52" s="29">
        <v>148.47179265380234</v>
      </c>
      <c r="G52" s="47">
        <v>148.30272248881579</v>
      </c>
      <c r="H52" s="47">
        <v>148.51358298351022</v>
      </c>
      <c r="I52" s="105">
        <f t="shared" si="1"/>
        <v>1.4218248401363098E-3</v>
      </c>
    </row>
    <row r="53" spans="1:9" ht="13.2" x14ac:dyDescent="0.2">
      <c r="A53" s="24" t="s">
        <v>41</v>
      </c>
      <c r="B53" s="25">
        <v>44.180590766150992</v>
      </c>
      <c r="C53" s="25">
        <v>54.533931593963914</v>
      </c>
      <c r="D53" s="25">
        <v>40.777196087011447</v>
      </c>
      <c r="E53" s="25">
        <v>30.861190914388185</v>
      </c>
      <c r="F53" s="26">
        <v>29.27948805661142</v>
      </c>
      <c r="G53" s="48">
        <v>22.273659353015738</v>
      </c>
      <c r="H53" s="48">
        <v>22.202976893171595</v>
      </c>
      <c r="I53" s="106">
        <f t="shared" si="1"/>
        <v>-3.1733653964934883E-3</v>
      </c>
    </row>
    <row r="54" spans="1:9" ht="13.2" x14ac:dyDescent="0.2">
      <c r="A54" s="21" t="s">
        <v>42</v>
      </c>
      <c r="B54" s="22">
        <v>20.481342096793231</v>
      </c>
      <c r="C54" s="22">
        <v>31.168986206096683</v>
      </c>
      <c r="D54" s="22">
        <v>25.738295763684562</v>
      </c>
      <c r="E54" s="22">
        <v>26.065631006432277</v>
      </c>
      <c r="F54" s="23">
        <v>27.567423085308118</v>
      </c>
      <c r="G54" s="48">
        <v>27.533737776943855</v>
      </c>
      <c r="H54" s="48">
        <v>27.665500420595706</v>
      </c>
      <c r="I54" s="106">
        <f t="shared" ref="I54:I73" si="2">IFERROR(H54/G54-1,"-")</f>
        <v>4.7854978760706324E-3</v>
      </c>
    </row>
    <row r="55" spans="1:9" ht="13.2" x14ac:dyDescent="0.2">
      <c r="A55" s="24" t="s">
        <v>43</v>
      </c>
      <c r="B55" s="25">
        <v>50.041407583439522</v>
      </c>
      <c r="C55" s="25">
        <v>55.685148552562012</v>
      </c>
      <c r="D55" s="25">
        <v>77.190815576620309</v>
      </c>
      <c r="E55" s="25">
        <v>76.892888631448628</v>
      </c>
      <c r="F55" s="26">
        <v>91.624881511882833</v>
      </c>
      <c r="G55" s="48">
        <v>98.495325358856206</v>
      </c>
      <c r="H55" s="48">
        <v>98.645105669742918</v>
      </c>
      <c r="I55" s="106">
        <f t="shared" si="2"/>
        <v>1.5206844623438798E-3</v>
      </c>
    </row>
    <row r="56" spans="1:9" x14ac:dyDescent="0.3">
      <c r="A56" s="27" t="s">
        <v>44</v>
      </c>
      <c r="B56" s="28">
        <v>281.79367575121773</v>
      </c>
      <c r="C56" s="28">
        <v>301.41040949419988</v>
      </c>
      <c r="D56" s="28">
        <v>336.95187355551235</v>
      </c>
      <c r="E56" s="28">
        <v>291.50229852409905</v>
      </c>
      <c r="F56" s="29">
        <v>314.97600965082279</v>
      </c>
      <c r="G56" s="47">
        <v>265.9441036662995</v>
      </c>
      <c r="H56" s="47">
        <v>264.43473575755451</v>
      </c>
      <c r="I56" s="105">
        <f t="shared" si="2"/>
        <v>-5.6755080783400524E-3</v>
      </c>
    </row>
    <row r="57" spans="1:9" ht="13.2" x14ac:dyDescent="0.2">
      <c r="A57" s="24" t="s">
        <v>45</v>
      </c>
      <c r="B57" s="25">
        <v>281.79367575121773</v>
      </c>
      <c r="C57" s="25">
        <v>301.41040949419988</v>
      </c>
      <c r="D57" s="25">
        <v>336.95187355551235</v>
      </c>
      <c r="E57" s="25">
        <v>291.50229852409905</v>
      </c>
      <c r="F57" s="26">
        <v>314.97600965082279</v>
      </c>
      <c r="G57" s="48">
        <v>265.9441036662995</v>
      </c>
      <c r="H57" s="48">
        <v>264.43473575755451</v>
      </c>
      <c r="I57" s="106">
        <f t="shared" si="2"/>
        <v>-5.6755080783400524E-3</v>
      </c>
    </row>
    <row r="58" spans="1:9" x14ac:dyDescent="0.3">
      <c r="A58" s="15" t="s">
        <v>46</v>
      </c>
      <c r="B58" s="16">
        <v>4072.3677317821148</v>
      </c>
      <c r="C58" s="16">
        <v>6266.7915370118781</v>
      </c>
      <c r="D58" s="16">
        <v>5633.7030312270081</v>
      </c>
      <c r="E58" s="16">
        <v>5494.9568692744542</v>
      </c>
      <c r="F58" s="34">
        <v>5778.6561723378018</v>
      </c>
      <c r="G58" s="46">
        <v>5827.8134019008958</v>
      </c>
      <c r="H58" s="46">
        <v>5820.7598918911654</v>
      </c>
      <c r="I58" s="104">
        <f t="shared" si="2"/>
        <v>-1.2103184373456477E-3</v>
      </c>
    </row>
    <row r="59" spans="1:9" x14ac:dyDescent="0.3">
      <c r="A59" s="18" t="s">
        <v>47</v>
      </c>
      <c r="B59" s="19">
        <v>208.56932459733898</v>
      </c>
      <c r="C59" s="19">
        <v>213.3215157744155</v>
      </c>
      <c r="D59" s="19">
        <v>417.24622371214213</v>
      </c>
      <c r="E59" s="19">
        <v>485.79522621677006</v>
      </c>
      <c r="F59" s="20">
        <v>496.78540061353777</v>
      </c>
      <c r="G59" s="47">
        <v>534.32095710051465</v>
      </c>
      <c r="H59" s="47">
        <v>532.55548932409351</v>
      </c>
      <c r="I59" s="105">
        <f t="shared" si="2"/>
        <v>-3.3041335043293429E-3</v>
      </c>
    </row>
    <row r="60" spans="1:9" ht="13.2" x14ac:dyDescent="0.2">
      <c r="A60" s="21" t="s">
        <v>48</v>
      </c>
      <c r="B60" s="22">
        <v>141.81019196628688</v>
      </c>
      <c r="C60" s="22">
        <v>143.17339641331702</v>
      </c>
      <c r="D60" s="22">
        <v>290.53761569210121</v>
      </c>
      <c r="E60" s="22">
        <v>330.21012740404944</v>
      </c>
      <c r="F60" s="23">
        <v>330.4449691678073</v>
      </c>
      <c r="G60" s="48">
        <v>344.39630951208994</v>
      </c>
      <c r="H60" s="48">
        <v>343.05532022532475</v>
      </c>
      <c r="I60" s="106">
        <f t="shared" si="2"/>
        <v>-3.89373884018962E-3</v>
      </c>
    </row>
    <row r="61" spans="1:9" ht="13.2" x14ac:dyDescent="0.2">
      <c r="A61" s="24" t="s">
        <v>49</v>
      </c>
      <c r="B61" s="25">
        <v>40.506626292404938</v>
      </c>
      <c r="C61" s="25">
        <v>43.148127646934483</v>
      </c>
      <c r="D61" s="25">
        <v>86.310132789345587</v>
      </c>
      <c r="E61" s="25">
        <v>109.99741650442117</v>
      </c>
      <c r="F61" s="26">
        <v>112.29140300756177</v>
      </c>
      <c r="G61" s="48">
        <v>133.11694015467819</v>
      </c>
      <c r="H61" s="48">
        <v>132.69246166502228</v>
      </c>
      <c r="I61" s="106">
        <f t="shared" si="2"/>
        <v>-3.1887638730478951E-3</v>
      </c>
    </row>
    <row r="62" spans="1:9" ht="13.2" x14ac:dyDescent="0.2">
      <c r="A62" s="21" t="s">
        <v>50</v>
      </c>
      <c r="B62" s="22">
        <v>2.4273218644663905</v>
      </c>
      <c r="C62" s="22">
        <v>2.5138395452001361</v>
      </c>
      <c r="D62" s="22">
        <v>4.3830083988583972</v>
      </c>
      <c r="E62" s="22">
        <v>4.3563447928218597</v>
      </c>
      <c r="F62" s="23">
        <v>5.0007721541140766</v>
      </c>
      <c r="G62" s="48">
        <v>4.3576600582823275</v>
      </c>
      <c r="H62" s="48">
        <v>4.3576600582823275</v>
      </c>
      <c r="I62" s="106">
        <f t="shared" si="2"/>
        <v>0</v>
      </c>
    </row>
    <row r="63" spans="1:9" ht="13.2" x14ac:dyDescent="0.2">
      <c r="A63" s="24" t="s">
        <v>51</v>
      </c>
      <c r="B63" s="25">
        <v>11.181178347126647</v>
      </c>
      <c r="C63" s="25">
        <v>11.665428917827535</v>
      </c>
      <c r="D63" s="25">
        <v>17.892430586378964</v>
      </c>
      <c r="E63" s="25">
        <v>20.097074106957354</v>
      </c>
      <c r="F63" s="26">
        <v>19.789355139500287</v>
      </c>
      <c r="G63" s="48">
        <v>22.401329746977002</v>
      </c>
      <c r="H63" s="48">
        <v>22.401329746977002</v>
      </c>
      <c r="I63" s="106">
        <f t="shared" si="2"/>
        <v>0</v>
      </c>
    </row>
    <row r="64" spans="1:9" ht="13.2" x14ac:dyDescent="0.2">
      <c r="A64" s="21" t="s">
        <v>52</v>
      </c>
      <c r="B64" s="22">
        <v>12.644006127054135</v>
      </c>
      <c r="C64" s="22">
        <v>12.820723251136297</v>
      </c>
      <c r="D64" s="22">
        <v>18.123036245457932</v>
      </c>
      <c r="E64" s="22">
        <v>21.134263408520244</v>
      </c>
      <c r="F64" s="23">
        <v>29.258901144554336</v>
      </c>
      <c r="G64" s="48">
        <v>30.048717628487211</v>
      </c>
      <c r="H64" s="48">
        <v>30.048717628487211</v>
      </c>
      <c r="I64" s="106">
        <f t="shared" si="2"/>
        <v>0</v>
      </c>
    </row>
    <row r="65" spans="1:9" x14ac:dyDescent="0.3">
      <c r="A65" s="18" t="s">
        <v>53</v>
      </c>
      <c r="B65" s="19">
        <v>76.218215960376071</v>
      </c>
      <c r="C65" s="19">
        <v>77.157712112532522</v>
      </c>
      <c r="D65" s="19">
        <v>87.513653201138993</v>
      </c>
      <c r="E65" s="19">
        <v>118.02938215900251</v>
      </c>
      <c r="F65" s="20">
        <v>124.53357531853034</v>
      </c>
      <c r="G65" s="47">
        <v>139.45108430918145</v>
      </c>
      <c r="H65" s="47">
        <v>139.53790824762558</v>
      </c>
      <c r="I65" s="105">
        <f t="shared" si="2"/>
        <v>6.2261214299086376E-4</v>
      </c>
    </row>
    <row r="66" spans="1:9" ht="13.2" x14ac:dyDescent="0.2">
      <c r="A66" s="21" t="s">
        <v>54</v>
      </c>
      <c r="B66" s="22">
        <v>76.218215960376071</v>
      </c>
      <c r="C66" s="22">
        <v>77.157712112532522</v>
      </c>
      <c r="D66" s="22">
        <v>87.513653201138993</v>
      </c>
      <c r="E66" s="22">
        <v>118.02938215900251</v>
      </c>
      <c r="F66" s="23">
        <v>124.53357531853034</v>
      </c>
      <c r="G66" s="48">
        <v>139.45108430918145</v>
      </c>
      <c r="H66" s="48">
        <v>139.53790824762558</v>
      </c>
      <c r="I66" s="106">
        <f t="shared" si="2"/>
        <v>6.2261214299086376E-4</v>
      </c>
    </row>
    <row r="67" spans="1:9" x14ac:dyDescent="0.3">
      <c r="A67" s="35" t="s">
        <v>55</v>
      </c>
      <c r="B67" s="36">
        <v>4357.1552723398308</v>
      </c>
      <c r="C67" s="36">
        <v>6557.2707648988262</v>
      </c>
      <c r="D67" s="36">
        <v>6138.4629081402891</v>
      </c>
      <c r="E67" s="36">
        <v>6098.7814776502273</v>
      </c>
      <c r="F67" s="37">
        <v>6399.9751482698694</v>
      </c>
      <c r="G67" s="46">
        <v>6501.5854433105915</v>
      </c>
      <c r="H67" s="46">
        <v>6492.8532894628834</v>
      </c>
      <c r="I67" s="104">
        <f t="shared" si="2"/>
        <v>-1.3430806876024715E-3</v>
      </c>
    </row>
    <row r="68" spans="1:9" x14ac:dyDescent="0.3">
      <c r="A68" s="27" t="s">
        <v>63</v>
      </c>
      <c r="B68" s="28">
        <v>830.77245962993038</v>
      </c>
      <c r="C68" s="28">
        <v>1064.5064887275721</v>
      </c>
      <c r="D68" s="28">
        <v>1137.8369028819852</v>
      </c>
      <c r="E68" s="28">
        <v>1012.2835135223116</v>
      </c>
      <c r="F68" s="29">
        <v>1275.9210340915301</v>
      </c>
      <c r="G68" s="47">
        <v>1492.6199368625814</v>
      </c>
      <c r="H68" s="47">
        <v>1487.6169170336796</v>
      </c>
      <c r="I68" s="105">
        <f t="shared" si="2"/>
        <v>-3.3518377353434214E-3</v>
      </c>
    </row>
    <row r="69" spans="1:9" ht="13.2" x14ac:dyDescent="0.2">
      <c r="A69" s="24" t="s">
        <v>56</v>
      </c>
      <c r="B69" s="25">
        <v>664.45783359378515</v>
      </c>
      <c r="C69" s="25">
        <v>745.63292593694916</v>
      </c>
      <c r="D69" s="25">
        <v>553.77192259505352</v>
      </c>
      <c r="E69" s="25">
        <v>455.08854977291941</v>
      </c>
      <c r="F69" s="26">
        <v>548.59349947983196</v>
      </c>
      <c r="G69" s="48">
        <v>641.81250112255179</v>
      </c>
      <c r="H69" s="48">
        <v>638.94326657270199</v>
      </c>
      <c r="I69" s="106">
        <f t="shared" si="2"/>
        <v>-4.4705183286884997E-3</v>
      </c>
    </row>
    <row r="70" spans="1:9" ht="13.2" x14ac:dyDescent="0.2">
      <c r="A70" s="21" t="s">
        <v>57</v>
      </c>
      <c r="B70" s="22">
        <v>47.283611525809384</v>
      </c>
      <c r="C70" s="22">
        <v>125.86380210870773</v>
      </c>
      <c r="D70" s="22">
        <v>108.02442132209815</v>
      </c>
      <c r="E70" s="22">
        <v>99.238302101604688</v>
      </c>
      <c r="F70" s="23">
        <v>133.85713133837223</v>
      </c>
      <c r="G70" s="48">
        <v>148.60063947484375</v>
      </c>
      <c r="H70" s="48">
        <v>148.30087810826279</v>
      </c>
      <c r="I70" s="106">
        <f t="shared" si="2"/>
        <v>-2.0172279718331243E-3</v>
      </c>
    </row>
    <row r="71" spans="1:9" ht="13.2" x14ac:dyDescent="0.2">
      <c r="A71" s="24" t="s">
        <v>58</v>
      </c>
      <c r="B71" s="25">
        <v>99.767540364681892</v>
      </c>
      <c r="C71" s="25">
        <v>163.18794479159456</v>
      </c>
      <c r="D71" s="25">
        <v>418.36081105523738</v>
      </c>
      <c r="E71" s="25">
        <v>401.6349070641636</v>
      </c>
      <c r="F71" s="26">
        <v>498.08772276230508</v>
      </c>
      <c r="G71" s="48">
        <v>589.6005345346681</v>
      </c>
      <c r="H71" s="48">
        <v>587.76651062219651</v>
      </c>
      <c r="I71" s="106">
        <f t="shared" si="2"/>
        <v>-3.1106211834069919E-3</v>
      </c>
    </row>
    <row r="72" spans="1:9" ht="13.2" x14ac:dyDescent="0.2">
      <c r="A72" s="21" t="s">
        <v>59</v>
      </c>
      <c r="B72" s="22">
        <v>19.263474145654055</v>
      </c>
      <c r="C72" s="22">
        <v>29.821815890320817</v>
      </c>
      <c r="D72" s="22">
        <v>57.679747909596173</v>
      </c>
      <c r="E72" s="22">
        <v>56.321754583624056</v>
      </c>
      <c r="F72" s="23">
        <v>95.382680511021121</v>
      </c>
      <c r="G72" s="49">
        <v>112.60626173051791</v>
      </c>
      <c r="H72" s="49">
        <v>112.60626173051791</v>
      </c>
      <c r="I72" s="107">
        <f t="shared" si="2"/>
        <v>0</v>
      </c>
    </row>
    <row r="73" spans="1:9" x14ac:dyDescent="0.3">
      <c r="A73" s="35" t="s">
        <v>60</v>
      </c>
      <c r="B73" s="36">
        <v>5187.9277319697612</v>
      </c>
      <c r="C73" s="36">
        <v>7621.7772536263992</v>
      </c>
      <c r="D73" s="36">
        <v>7276.2998110222734</v>
      </c>
      <c r="E73" s="36">
        <v>7111.0649911725386</v>
      </c>
      <c r="F73" s="37">
        <v>7675.896182361399</v>
      </c>
      <c r="G73" s="46">
        <v>7994.2053801731736</v>
      </c>
      <c r="H73" s="46">
        <v>7980.4702064965632</v>
      </c>
      <c r="I73" s="104">
        <f t="shared" si="2"/>
        <v>-1.7181412064638524E-3</v>
      </c>
    </row>
    <row r="74" spans="1:9" ht="13.2" x14ac:dyDescent="0.2"/>
    <row r="75" spans="1:9" ht="13.2" x14ac:dyDescent="0.2">
      <c r="A75" s="50" t="s">
        <v>68</v>
      </c>
      <c r="B75" s="51">
        <v>60.6414601954679</v>
      </c>
      <c r="C75" s="51">
        <v>60.923322243962097</v>
      </c>
      <c r="D75" s="51">
        <v>59.74462617051703</v>
      </c>
      <c r="E75" s="51">
        <v>59.74462617051703</v>
      </c>
      <c r="F75" s="51">
        <v>55.757226060508032</v>
      </c>
      <c r="G75" s="108">
        <v>54.599952501849423</v>
      </c>
      <c r="H75" s="108">
        <v>54.599952501849423</v>
      </c>
      <c r="I75" s="102">
        <f>IFERROR(H75/G75-1,"-")</f>
        <v>0</v>
      </c>
    </row>
    <row r="76" spans="1:9" ht="13.2" x14ac:dyDescent="0.2">
      <c r="A76" s="38" t="s">
        <v>67</v>
      </c>
      <c r="B76" s="39">
        <v>5.1439616234071543</v>
      </c>
      <c r="C76" s="39">
        <v>5.2311851021427973</v>
      </c>
      <c r="D76" s="39">
        <v>5.0735459594539503</v>
      </c>
      <c r="E76" s="39">
        <v>5.0735459594539503</v>
      </c>
      <c r="F76" s="39">
        <v>5.6879801538138484</v>
      </c>
      <c r="G76" s="109">
        <v>5.3611000000000004</v>
      </c>
      <c r="H76" s="109">
        <v>5.3051000000000004</v>
      </c>
      <c r="I76" s="103">
        <f>IFERROR(H76/G76-1,"-")</f>
        <v>-1.0445617503870519E-2</v>
      </c>
    </row>
    <row r="77" spans="1:9" hidden="1" x14ac:dyDescent="0.3">
      <c r="D77" s="33"/>
      <c r="E77" s="33"/>
      <c r="F77" s="33"/>
      <c r="G77" s="33"/>
      <c r="H77" s="33"/>
      <c r="I77" s="40"/>
    </row>
    <row r="78" spans="1:9" x14ac:dyDescent="0.3">
      <c r="A78" s="41" t="s">
        <v>71</v>
      </c>
      <c r="B78" s="41"/>
      <c r="C78" s="41"/>
      <c r="D78" s="33"/>
      <c r="E78" s="33"/>
      <c r="F78" s="33"/>
      <c r="G78" s="33"/>
      <c r="H78" s="110"/>
      <c r="I78" s="40"/>
    </row>
    <row r="79" spans="1:9" ht="13.2" x14ac:dyDescent="0.2">
      <c r="A79" s="41" t="s">
        <v>66</v>
      </c>
      <c r="B79" s="41"/>
      <c r="C79" s="41"/>
    </row>
    <row r="80" spans="1:9" ht="13.2" x14ac:dyDescent="0.2">
      <c r="A80" s="41" t="s">
        <v>143</v>
      </c>
      <c r="B80" s="41"/>
      <c r="C80" s="41"/>
    </row>
    <row r="81" spans="1:9" ht="32.4" customHeight="1" x14ac:dyDescent="0.2">
      <c r="A81" s="119" t="s">
        <v>138</v>
      </c>
      <c r="B81" s="119"/>
      <c r="C81" s="119"/>
      <c r="D81" s="119"/>
      <c r="E81" s="119"/>
      <c r="F81" s="119"/>
      <c r="G81" s="119"/>
      <c r="H81" s="119"/>
      <c r="I81" s="119"/>
    </row>
    <row r="82" spans="1:9" ht="13.2" x14ac:dyDescent="0.2">
      <c r="A82" s="118" t="s">
        <v>139</v>
      </c>
      <c r="B82" s="118"/>
      <c r="C82" s="118"/>
      <c r="D82" s="118"/>
      <c r="E82" s="118"/>
      <c r="F82" s="118"/>
      <c r="G82" s="118"/>
    </row>
    <row r="83" spans="1:9" ht="18.75" hidden="1" customHeight="1" x14ac:dyDescent="0.2"/>
    <row r="84" spans="1:9" ht="13.2" hidden="1" x14ac:dyDescent="0.2"/>
  </sheetData>
  <mergeCells count="5">
    <mergeCell ref="A82:G82"/>
    <mergeCell ref="A81:I81"/>
    <mergeCell ref="A2:I2"/>
    <mergeCell ref="A3:I3"/>
    <mergeCell ref="A4:I4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6D7F-A2AC-4C67-BDA5-DFFC296A9181}">
  <dimension ref="A1:T82"/>
  <sheetViews>
    <sheetView showGridLines="0" zoomScale="115" zoomScaleNormal="115" workbookViewId="0">
      <selection activeCell="A3" sqref="A3:I3"/>
    </sheetView>
  </sheetViews>
  <sheetFormatPr defaultColWidth="0" defaultRowHeight="14.4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20.100000000000001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350000000000001" customHeight="1" x14ac:dyDescent="0.3">
      <c r="A4" s="122" t="s">
        <v>113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10" t="s">
        <v>141</v>
      </c>
      <c r="E6" s="10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/>
      <c r="C9" s="64"/>
      <c r="D9" s="63">
        <v>4664.7816452958787</v>
      </c>
      <c r="E9" s="63">
        <v>4221.6535637804363</v>
      </c>
      <c r="F9" s="77">
        <v>3944.9659245049716</v>
      </c>
      <c r="G9" s="46">
        <v>3823.9748789658356</v>
      </c>
      <c r="H9" s="46">
        <v>3824.5344733136503</v>
      </c>
      <c r="I9" s="104">
        <f>IFERROR(H9/G9-1,"-")</f>
        <v>1.4633839539390792E-4</v>
      </c>
    </row>
    <row r="10" spans="1:9" ht="15" x14ac:dyDescent="0.3">
      <c r="A10" s="65" t="s">
        <v>3</v>
      </c>
      <c r="B10" s="66"/>
      <c r="C10" s="66"/>
      <c r="D10" s="66">
        <v>666.50539507136068</v>
      </c>
      <c r="E10" s="66">
        <v>656.79314853366316</v>
      </c>
      <c r="F10" s="67">
        <v>579.06247245842837</v>
      </c>
      <c r="G10" s="47">
        <v>494.98419569841622</v>
      </c>
      <c r="H10" s="47">
        <v>481.62633310381443</v>
      </c>
      <c r="I10" s="105">
        <f t="shared" ref="I10:I73" si="0">IFERROR(H10/G10-1,"-")</f>
        <v>-2.698644261915073E-2</v>
      </c>
    </row>
    <row r="11" spans="1:9" x14ac:dyDescent="0.3">
      <c r="A11" s="68" t="s">
        <v>4</v>
      </c>
      <c r="B11" s="69"/>
      <c r="C11" s="69"/>
      <c r="D11" s="69">
        <v>608.39232705348081</v>
      </c>
      <c r="E11" s="69">
        <v>611.65293978097782</v>
      </c>
      <c r="F11" s="70">
        <v>532.70357227311968</v>
      </c>
      <c r="G11" s="48">
        <v>459.99084655716848</v>
      </c>
      <c r="H11" s="48">
        <v>449.42461244745249</v>
      </c>
      <c r="I11" s="106">
        <f t="shared" si="0"/>
        <v>-2.2970531237305414E-2</v>
      </c>
    </row>
    <row r="12" spans="1:9" x14ac:dyDescent="0.3">
      <c r="A12" s="71" t="s">
        <v>5</v>
      </c>
      <c r="B12" s="72"/>
      <c r="C12" s="72"/>
      <c r="D12" s="72">
        <v>58.113068017879897</v>
      </c>
      <c r="E12" s="72">
        <v>45.14020875268529</v>
      </c>
      <c r="F12" s="73">
        <v>46.358900185308649</v>
      </c>
      <c r="G12" s="48">
        <v>34.993349141247755</v>
      </c>
      <c r="H12" s="48">
        <v>32.20172065636195</v>
      </c>
      <c r="I12" s="106">
        <f t="shared" si="0"/>
        <v>-7.9775973246162479E-2</v>
      </c>
    </row>
    <row r="13" spans="1:9" ht="15" x14ac:dyDescent="0.3">
      <c r="A13" s="74" t="s">
        <v>6</v>
      </c>
      <c r="B13" s="75"/>
      <c r="C13" s="75"/>
      <c r="D13" s="75">
        <v>2451.1635908910325</v>
      </c>
      <c r="E13" s="75">
        <v>2170.376440724322</v>
      </c>
      <c r="F13" s="76">
        <v>2034.6888109175011</v>
      </c>
      <c r="G13" s="47">
        <v>2072.0342524520556</v>
      </c>
      <c r="H13" s="47">
        <v>2082.4489987413858</v>
      </c>
      <c r="I13" s="105">
        <f t="shared" si="0"/>
        <v>5.0263388633684514E-3</v>
      </c>
    </row>
    <row r="14" spans="1:9" x14ac:dyDescent="0.3">
      <c r="A14" s="71" t="s">
        <v>7</v>
      </c>
      <c r="B14" s="72"/>
      <c r="C14" s="72"/>
      <c r="D14" s="72">
        <v>192.54919100425693</v>
      </c>
      <c r="E14" s="72">
        <v>191.07241353104362</v>
      </c>
      <c r="F14" s="73">
        <v>113.27403104223214</v>
      </c>
      <c r="G14" s="48">
        <v>117.12849448362483</v>
      </c>
      <c r="H14" s="48">
        <v>117.78389731589775</v>
      </c>
      <c r="I14" s="106">
        <f t="shared" si="0"/>
        <v>5.5955882909819454E-3</v>
      </c>
    </row>
    <row r="15" spans="1:9" x14ac:dyDescent="0.3">
      <c r="A15" s="68" t="s">
        <v>8</v>
      </c>
      <c r="B15" s="69"/>
      <c r="C15" s="69"/>
      <c r="D15" s="69">
        <v>1914.9634157362884</v>
      </c>
      <c r="E15" s="69">
        <v>1644.7559083521837</v>
      </c>
      <c r="F15" s="70">
        <v>1809.5310694407042</v>
      </c>
      <c r="G15" s="48">
        <v>1845.8772729789798</v>
      </c>
      <c r="H15" s="48">
        <v>1854.9097955471575</v>
      </c>
      <c r="I15" s="106">
        <f t="shared" si="0"/>
        <v>4.8933494660783339E-3</v>
      </c>
    </row>
    <row r="16" spans="1:9" x14ac:dyDescent="0.3">
      <c r="A16" s="71" t="s">
        <v>9</v>
      </c>
      <c r="B16" s="72"/>
      <c r="C16" s="72"/>
      <c r="D16" s="72">
        <v>343.65098415048726</v>
      </c>
      <c r="E16" s="72">
        <v>334.54811884109455</v>
      </c>
      <c r="F16" s="73">
        <v>111.88371043456493</v>
      </c>
      <c r="G16" s="48">
        <v>109.02848498945087</v>
      </c>
      <c r="H16" s="48">
        <v>109.75530587833053</v>
      </c>
      <c r="I16" s="106">
        <f t="shared" si="0"/>
        <v>6.6663394336807791E-3</v>
      </c>
    </row>
    <row r="17" spans="1:9" ht="15" x14ac:dyDescent="0.3">
      <c r="A17" s="74" t="s">
        <v>10</v>
      </c>
      <c r="B17" s="75"/>
      <c r="C17" s="75"/>
      <c r="D17" s="75">
        <v>1120.9665088449706</v>
      </c>
      <c r="E17" s="75">
        <v>954.97087022717574</v>
      </c>
      <c r="F17" s="76">
        <v>1073.8492196321929</v>
      </c>
      <c r="G17" s="47">
        <v>1006.2501083928861</v>
      </c>
      <c r="H17" s="47">
        <v>1009.8191636384961</v>
      </c>
      <c r="I17" s="105">
        <f t="shared" si="0"/>
        <v>3.5468868185368763E-3</v>
      </c>
    </row>
    <row r="18" spans="1:9" x14ac:dyDescent="0.3">
      <c r="A18" s="71" t="s">
        <v>11</v>
      </c>
      <c r="B18" s="72"/>
      <c r="C18" s="72"/>
      <c r="D18" s="72">
        <v>270.4612482355202</v>
      </c>
      <c r="E18" s="72">
        <v>257.46271078933751</v>
      </c>
      <c r="F18" s="73">
        <v>383.75125090854357</v>
      </c>
      <c r="G18" s="48">
        <v>350.42532009396888</v>
      </c>
      <c r="H18" s="48">
        <v>348.85763973843729</v>
      </c>
      <c r="I18" s="106">
        <f t="shared" si="0"/>
        <v>-4.4736503489850588E-3</v>
      </c>
    </row>
    <row r="19" spans="1:9" x14ac:dyDescent="0.3">
      <c r="A19" s="68" t="s">
        <v>12</v>
      </c>
      <c r="B19" s="69"/>
      <c r="C19" s="69"/>
      <c r="D19" s="69">
        <v>267.81723828126349</v>
      </c>
      <c r="E19" s="69">
        <v>174.53804470400107</v>
      </c>
      <c r="F19" s="70">
        <v>148.16356776870671</v>
      </c>
      <c r="G19" s="48">
        <v>146.29958567977363</v>
      </c>
      <c r="H19" s="48">
        <v>147.73115290672385</v>
      </c>
      <c r="I19" s="106">
        <f t="shared" si="0"/>
        <v>9.7851762210980908E-3</v>
      </c>
    </row>
    <row r="20" spans="1:9" x14ac:dyDescent="0.3">
      <c r="A20" s="71" t="s">
        <v>13</v>
      </c>
      <c r="B20" s="72"/>
      <c r="C20" s="72"/>
      <c r="D20" s="72">
        <v>517.26489789211485</v>
      </c>
      <c r="E20" s="72">
        <v>436.05256729408075</v>
      </c>
      <c r="F20" s="73">
        <v>446.14276734170045</v>
      </c>
      <c r="G20" s="48">
        <v>407.47379781131008</v>
      </c>
      <c r="H20" s="48">
        <v>406.97383486245059</v>
      </c>
      <c r="I20" s="106">
        <f t="shared" si="0"/>
        <v>-1.2269818367339758E-3</v>
      </c>
    </row>
    <row r="21" spans="1:9" x14ac:dyDescent="0.3">
      <c r="A21" s="68" t="s">
        <v>14</v>
      </c>
      <c r="B21" s="69"/>
      <c r="C21" s="69"/>
      <c r="D21" s="69">
        <v>65.423124436072186</v>
      </c>
      <c r="E21" s="69">
        <v>86.917547439756405</v>
      </c>
      <c r="F21" s="70">
        <v>95.791633613242112</v>
      </c>
      <c r="G21" s="48">
        <v>102.05140480783348</v>
      </c>
      <c r="H21" s="48">
        <v>106.25653613088438</v>
      </c>
      <c r="I21" s="106">
        <f t="shared" si="0"/>
        <v>4.1206011136929677E-2</v>
      </c>
    </row>
    <row r="22" spans="1:9" ht="15" x14ac:dyDescent="0.3">
      <c r="A22" s="74" t="s">
        <v>129</v>
      </c>
      <c r="B22" s="75"/>
      <c r="C22" s="75"/>
      <c r="D22" s="75">
        <v>256.52915048851418</v>
      </c>
      <c r="E22" s="75">
        <v>231.49519216435047</v>
      </c>
      <c r="F22" s="112">
        <v>168.50255694173723</v>
      </c>
      <c r="G22" s="47">
        <v>162.37921647337549</v>
      </c>
      <c r="H22" s="47">
        <v>162.37968576536704</v>
      </c>
      <c r="I22" s="105">
        <f>IFERROR(H22/G23-1,"-")</f>
        <v>11.649461845446169</v>
      </c>
    </row>
    <row r="23" spans="1:9" x14ac:dyDescent="0.3">
      <c r="A23" s="71" t="s">
        <v>15</v>
      </c>
      <c r="B23" s="72"/>
      <c r="C23" s="72"/>
      <c r="D23" s="72">
        <v>12.28442641139136</v>
      </c>
      <c r="E23" s="72">
        <v>11.085623787075972</v>
      </c>
      <c r="F23" s="113">
        <v>13.320965428379047</v>
      </c>
      <c r="G23" s="48">
        <v>12.836884900666668</v>
      </c>
      <c r="H23" s="48">
        <v>12.836922000533335</v>
      </c>
      <c r="I23" s="106">
        <f>IFERROR(H23/G24-1,"-")</f>
        <v>-0.80727792402841214</v>
      </c>
    </row>
    <row r="24" spans="1:9" x14ac:dyDescent="0.3">
      <c r="A24" s="68" t="s">
        <v>16</v>
      </c>
      <c r="B24" s="69"/>
      <c r="C24" s="69"/>
      <c r="D24" s="69">
        <v>92.920175078446519</v>
      </c>
      <c r="E24" s="69">
        <v>83.852356524656173</v>
      </c>
      <c r="F24" s="114">
        <v>69.120280383707353</v>
      </c>
      <c r="G24" s="48">
        <v>66.608466808056917</v>
      </c>
      <c r="H24" s="48">
        <v>66.608659313112213</v>
      </c>
      <c r="I24" s="106">
        <f>IFERROR(H24/G25-1,"-")</f>
        <v>1.1344202179753187</v>
      </c>
    </row>
    <row r="25" spans="1:9" x14ac:dyDescent="0.3">
      <c r="A25" s="71" t="s">
        <v>17</v>
      </c>
      <c r="B25" s="72"/>
      <c r="C25" s="72"/>
      <c r="D25" s="72">
        <v>33.914162068924583</v>
      </c>
      <c r="E25" s="72">
        <v>30.604574374053993</v>
      </c>
      <c r="F25" s="113">
        <v>32.383726300024918</v>
      </c>
      <c r="G25" s="48">
        <v>31.206909844724141</v>
      </c>
      <c r="H25" s="48">
        <v>31.207000035779309</v>
      </c>
      <c r="I25" s="106" t="str">
        <f>IFERROR(H25/G26-1,"-")</f>
        <v>-</v>
      </c>
    </row>
    <row r="26" spans="1:9" x14ac:dyDescent="0.3">
      <c r="A26" s="68" t="s">
        <v>61</v>
      </c>
      <c r="B26" s="69"/>
      <c r="C26" s="69"/>
      <c r="D26" s="69">
        <v>0</v>
      </c>
      <c r="E26" s="69">
        <v>0</v>
      </c>
      <c r="F26" s="114"/>
      <c r="G26" s="48">
        <v>0</v>
      </c>
      <c r="H26" s="48">
        <v>0</v>
      </c>
      <c r="I26" s="106" t="str">
        <f>IFERROR(H26/#REF!-1,"-")</f>
        <v>-</v>
      </c>
    </row>
    <row r="27" spans="1:9" x14ac:dyDescent="0.3">
      <c r="A27" s="71" t="s">
        <v>18</v>
      </c>
      <c r="B27" s="72"/>
      <c r="C27" s="72"/>
      <c r="D27" s="72">
        <v>117.41038692975172</v>
      </c>
      <c r="E27" s="72">
        <v>105.95263747856433</v>
      </c>
      <c r="F27" s="113">
        <v>53.677584829625914</v>
      </c>
      <c r="G27" s="48">
        <v>51.726954919927749</v>
      </c>
      <c r="H27" s="48">
        <v>51.7271044159422</v>
      </c>
      <c r="I27" s="106">
        <f t="shared" si="0"/>
        <v>2.8900988795488303E-6</v>
      </c>
    </row>
    <row r="28" spans="1:9" x14ac:dyDescent="0.3">
      <c r="A28" s="68" t="s">
        <v>19</v>
      </c>
      <c r="B28" s="69"/>
      <c r="C28" s="69"/>
      <c r="D28" s="69">
        <v>0</v>
      </c>
      <c r="E28" s="69">
        <v>0</v>
      </c>
      <c r="F28" s="70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/>
      <c r="C29" s="66"/>
      <c r="D29" s="66">
        <v>0</v>
      </c>
      <c r="E29" s="66">
        <v>0</v>
      </c>
      <c r="F29" s="67">
        <v>0</v>
      </c>
      <c r="G29" s="47">
        <v>0</v>
      </c>
      <c r="H29" s="47">
        <v>0</v>
      </c>
      <c r="I29" s="105" t="str">
        <f t="shared" si="0"/>
        <v>-</v>
      </c>
    </row>
    <row r="30" spans="1:9" x14ac:dyDescent="0.3">
      <c r="A30" s="68" t="s">
        <v>20</v>
      </c>
      <c r="B30" s="69"/>
      <c r="C30" s="69"/>
      <c r="D30" s="69">
        <v>0</v>
      </c>
      <c r="E30" s="69">
        <v>0</v>
      </c>
      <c r="F30" s="70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/>
      <c r="C31" s="66"/>
      <c r="D31" s="66">
        <v>169.61699999999999</v>
      </c>
      <c r="E31" s="66">
        <v>208.01791213092488</v>
      </c>
      <c r="F31" s="67">
        <v>88.862864555112054</v>
      </c>
      <c r="G31" s="47">
        <v>88.32710594910202</v>
      </c>
      <c r="H31" s="47">
        <v>88.260292064587205</v>
      </c>
      <c r="I31" s="105">
        <f t="shared" si="0"/>
        <v>-7.5643692609284052E-4</v>
      </c>
    </row>
    <row r="32" spans="1:9" x14ac:dyDescent="0.3">
      <c r="A32" s="68" t="s">
        <v>21</v>
      </c>
      <c r="B32" s="69"/>
      <c r="C32" s="69"/>
      <c r="D32" s="69">
        <v>169.61699999999999</v>
      </c>
      <c r="E32" s="69">
        <v>208.01791213092488</v>
      </c>
      <c r="F32" s="70">
        <v>86.633234925482427</v>
      </c>
      <c r="G32" s="48">
        <v>86.097476319472392</v>
      </c>
      <c r="H32" s="48">
        <v>86.030662434957577</v>
      </c>
      <c r="I32" s="106">
        <f t="shared" si="0"/>
        <v>-7.7602605059989838E-4</v>
      </c>
    </row>
    <row r="33" spans="1:20" x14ac:dyDescent="0.3">
      <c r="A33" s="71" t="s">
        <v>22</v>
      </c>
      <c r="B33" s="72"/>
      <c r="C33" s="72"/>
      <c r="D33" s="72">
        <v>0</v>
      </c>
      <c r="E33" s="72">
        <v>0</v>
      </c>
      <c r="F33" s="73">
        <v>2.229629629629629</v>
      </c>
      <c r="G33" s="48">
        <v>2.2296296296296294</v>
      </c>
      <c r="H33" s="48">
        <v>2.2296296296296294</v>
      </c>
      <c r="I33" s="106">
        <f t="shared" si="0"/>
        <v>0</v>
      </c>
    </row>
    <row r="34" spans="1:20" ht="15" x14ac:dyDescent="0.3">
      <c r="A34" s="74" t="s">
        <v>23</v>
      </c>
      <c r="B34" s="75"/>
      <c r="C34" s="75"/>
      <c r="D34" s="75">
        <v>220.57659060846558</v>
      </c>
      <c r="E34" s="75">
        <v>220.57659060846558</v>
      </c>
      <c r="F34" s="76">
        <v>169.85643518518518</v>
      </c>
      <c r="G34" s="47">
        <v>169.85643518518515</v>
      </c>
      <c r="H34" s="47">
        <v>169.85643518518515</v>
      </c>
      <c r="I34" s="105">
        <f t="shared" si="0"/>
        <v>0</v>
      </c>
      <c r="T34" s="1"/>
    </row>
    <row r="35" spans="1:20" x14ac:dyDescent="0.3">
      <c r="A35" s="71" t="s">
        <v>24</v>
      </c>
      <c r="B35" s="72"/>
      <c r="C35" s="72"/>
      <c r="D35" s="72">
        <v>216.93075727513224</v>
      </c>
      <c r="E35" s="72">
        <v>216.93075727513224</v>
      </c>
      <c r="F35" s="73">
        <v>167.40643518518519</v>
      </c>
      <c r="G35" s="48">
        <v>167.40643518518516</v>
      </c>
      <c r="H35" s="48">
        <v>167.40643518518516</v>
      </c>
      <c r="I35" s="106">
        <f t="shared" si="0"/>
        <v>0</v>
      </c>
      <c r="T35" s="2"/>
    </row>
    <row r="36" spans="1:20" x14ac:dyDescent="0.3">
      <c r="A36" s="68" t="s">
        <v>25</v>
      </c>
      <c r="B36" s="69"/>
      <c r="C36" s="69"/>
      <c r="D36" s="69">
        <v>3.6458333333333339</v>
      </c>
      <c r="E36" s="69">
        <v>3.6458333333333339</v>
      </c>
      <c r="F36" s="70">
        <v>2.4499999999999997</v>
      </c>
      <c r="G36" s="48">
        <v>2.4500000000000002</v>
      </c>
      <c r="H36" s="48">
        <v>2.4500000000000002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/>
      <c r="C37" s="66"/>
      <c r="D37" s="66">
        <v>206.38501875833327</v>
      </c>
      <c r="E37" s="66">
        <v>229.89254638064122</v>
      </c>
      <c r="F37" s="67">
        <v>210.37119503087339</v>
      </c>
      <c r="G37" s="47">
        <v>210.45666421553821</v>
      </c>
      <c r="H37" s="47">
        <v>210.35381216408305</v>
      </c>
      <c r="I37" s="105">
        <f t="shared" si="0"/>
        <v>-4.8870893130670279E-4</v>
      </c>
    </row>
    <row r="38" spans="1:20" x14ac:dyDescent="0.3">
      <c r="A38" s="68" t="s">
        <v>27</v>
      </c>
      <c r="B38" s="69"/>
      <c r="C38" s="69"/>
      <c r="D38" s="69">
        <v>30.1007</v>
      </c>
      <c r="E38" s="69">
        <v>46.602173797307834</v>
      </c>
      <c r="F38" s="70">
        <v>26.874963114206682</v>
      </c>
      <c r="G38" s="48">
        <v>26.719639548871534</v>
      </c>
      <c r="H38" s="48">
        <v>26.616787497416379</v>
      </c>
      <c r="I38" s="106">
        <f t="shared" si="0"/>
        <v>-3.8493053496112539E-3</v>
      </c>
    </row>
    <row r="39" spans="1:20" x14ac:dyDescent="0.3">
      <c r="A39" s="71" t="s">
        <v>28</v>
      </c>
      <c r="B39" s="72"/>
      <c r="C39" s="72"/>
      <c r="D39" s="72">
        <v>76.450394999999972</v>
      </c>
      <c r="E39" s="72">
        <v>79.762950000000032</v>
      </c>
      <c r="F39" s="73">
        <v>80.237850000000023</v>
      </c>
      <c r="G39" s="48">
        <v>80.351700000000008</v>
      </c>
      <c r="H39" s="48">
        <v>80.351700000000008</v>
      </c>
      <c r="I39" s="106">
        <f t="shared" si="0"/>
        <v>0</v>
      </c>
    </row>
    <row r="40" spans="1:20" x14ac:dyDescent="0.3">
      <c r="A40" s="68" t="s">
        <v>29</v>
      </c>
      <c r="B40" s="69"/>
      <c r="C40" s="69"/>
      <c r="D40" s="69">
        <v>76.450394999999972</v>
      </c>
      <c r="E40" s="69">
        <v>79.762950000000032</v>
      </c>
      <c r="F40" s="70">
        <v>80.237850000000023</v>
      </c>
      <c r="G40" s="48">
        <v>80.351700000000008</v>
      </c>
      <c r="H40" s="48">
        <v>80.351700000000008</v>
      </c>
      <c r="I40" s="106">
        <f t="shared" si="0"/>
        <v>0</v>
      </c>
    </row>
    <row r="41" spans="1:20" x14ac:dyDescent="0.3">
      <c r="A41" s="71" t="s">
        <v>30</v>
      </c>
      <c r="B41" s="72"/>
      <c r="C41" s="72"/>
      <c r="D41" s="72">
        <v>1.2217333333333333</v>
      </c>
      <c r="E41" s="72">
        <v>1.2217333333333333</v>
      </c>
      <c r="F41" s="73">
        <v>3.0925124999999984</v>
      </c>
      <c r="G41" s="48">
        <v>3.0925124999999993</v>
      </c>
      <c r="H41" s="48">
        <v>3.0925124999999993</v>
      </c>
      <c r="I41" s="106">
        <f t="shared" si="0"/>
        <v>0</v>
      </c>
    </row>
    <row r="42" spans="1:20" x14ac:dyDescent="0.3">
      <c r="A42" s="68" t="s">
        <v>31</v>
      </c>
      <c r="B42" s="69"/>
      <c r="C42" s="69"/>
      <c r="D42" s="69">
        <v>8.7917954250000001</v>
      </c>
      <c r="E42" s="69">
        <v>9.1727392500000011</v>
      </c>
      <c r="F42" s="70">
        <v>9.2273527499999997</v>
      </c>
      <c r="G42" s="48">
        <v>9.2404454999999999</v>
      </c>
      <c r="H42" s="48">
        <v>9.2404454999999999</v>
      </c>
      <c r="I42" s="106">
        <f t="shared" si="0"/>
        <v>0</v>
      </c>
    </row>
    <row r="43" spans="1:20" x14ac:dyDescent="0.3">
      <c r="A43" s="71" t="s">
        <v>32</v>
      </c>
      <c r="B43" s="72"/>
      <c r="C43" s="72"/>
      <c r="D43" s="72">
        <v>13.370000000000003</v>
      </c>
      <c r="E43" s="72">
        <v>13.370000000000003</v>
      </c>
      <c r="F43" s="73">
        <v>10.700666666666665</v>
      </c>
      <c r="G43" s="48">
        <v>10.700666666666667</v>
      </c>
      <c r="H43" s="48">
        <v>10.700666666666667</v>
      </c>
      <c r="I43" s="106">
        <f t="shared" si="0"/>
        <v>0</v>
      </c>
    </row>
    <row r="44" spans="1:20" ht="15" x14ac:dyDescent="0.3">
      <c r="A44" s="74" t="s">
        <v>33</v>
      </c>
      <c r="B44" s="75"/>
      <c r="C44" s="75"/>
      <c r="D44" s="75">
        <v>397.0211532737639</v>
      </c>
      <c r="E44" s="75">
        <v>359.56989281133502</v>
      </c>
      <c r="F44" s="76">
        <v>589.03870504302745</v>
      </c>
      <c r="G44" s="47">
        <v>581.68212127095717</v>
      </c>
      <c r="H44" s="47">
        <v>580.6419701161791</v>
      </c>
      <c r="I44" s="105">
        <f t="shared" si="0"/>
        <v>-1.7881779699630007E-3</v>
      </c>
    </row>
    <row r="45" spans="1:20" x14ac:dyDescent="0.3">
      <c r="A45" s="71" t="s">
        <v>34</v>
      </c>
      <c r="B45" s="72"/>
      <c r="C45" s="72"/>
      <c r="D45" s="72">
        <v>364.55733397076182</v>
      </c>
      <c r="E45" s="72">
        <v>327.10607350833294</v>
      </c>
      <c r="F45" s="73">
        <v>481.0357528450416</v>
      </c>
      <c r="G45" s="48">
        <v>474.94398026361921</v>
      </c>
      <c r="H45" s="48">
        <v>474.08266141216154</v>
      </c>
      <c r="I45" s="106">
        <f t="shared" si="0"/>
        <v>-1.8135167246031703E-3</v>
      </c>
    </row>
    <row r="46" spans="1:20" x14ac:dyDescent="0.3">
      <c r="A46" s="68" t="s">
        <v>35</v>
      </c>
      <c r="B46" s="69"/>
      <c r="C46" s="69"/>
      <c r="D46" s="69">
        <v>0</v>
      </c>
      <c r="E46" s="69">
        <v>0</v>
      </c>
      <c r="F46" s="70">
        <v>99.875593707419782</v>
      </c>
      <c r="G46" s="48">
        <v>98.610782516771877</v>
      </c>
      <c r="H46" s="48">
        <v>98.431950213451529</v>
      </c>
      <c r="I46" s="106">
        <f t="shared" si="0"/>
        <v>-1.8135167246029482E-3</v>
      </c>
    </row>
    <row r="47" spans="1:20" x14ac:dyDescent="0.3">
      <c r="A47" s="71" t="s">
        <v>36</v>
      </c>
      <c r="B47" s="72"/>
      <c r="C47" s="72"/>
      <c r="D47" s="72">
        <v>32.463819303002076</v>
      </c>
      <c r="E47" s="72">
        <v>32.463819303002076</v>
      </c>
      <c r="F47" s="73">
        <v>8.1273584905660385</v>
      </c>
      <c r="G47" s="48">
        <v>8.1273584905660385</v>
      </c>
      <c r="H47" s="48">
        <v>8.1273584905660385</v>
      </c>
      <c r="I47" s="106">
        <f t="shared" si="0"/>
        <v>0</v>
      </c>
    </row>
    <row r="48" spans="1:20" ht="15" x14ac:dyDescent="0.3">
      <c r="A48" s="74" t="s">
        <v>37</v>
      </c>
      <c r="B48" s="75"/>
      <c r="C48" s="75"/>
      <c r="D48" s="75">
        <v>205.19999999999996</v>
      </c>
      <c r="E48" s="75">
        <v>205.19999999999996</v>
      </c>
      <c r="F48" s="76">
        <v>363.03300000000002</v>
      </c>
      <c r="G48" s="47">
        <v>363.03300000000002</v>
      </c>
      <c r="H48" s="47">
        <v>363.03300000000002</v>
      </c>
      <c r="I48" s="105">
        <f t="shared" si="0"/>
        <v>0</v>
      </c>
    </row>
    <row r="49" spans="1:9" x14ac:dyDescent="0.3">
      <c r="A49" s="71" t="s">
        <v>62</v>
      </c>
      <c r="B49" s="72"/>
      <c r="C49" s="72"/>
      <c r="D49" s="72">
        <v>0</v>
      </c>
      <c r="E49" s="72">
        <v>0</v>
      </c>
      <c r="F49" s="73">
        <v>0</v>
      </c>
      <c r="G49" s="48">
        <v>0</v>
      </c>
      <c r="H49" s="48">
        <v>0</v>
      </c>
      <c r="I49" s="106" t="str">
        <f t="shared" si="0"/>
        <v>-</v>
      </c>
    </row>
    <row r="50" spans="1:9" x14ac:dyDescent="0.3">
      <c r="A50" s="68" t="s">
        <v>38</v>
      </c>
      <c r="B50" s="69"/>
      <c r="C50" s="69"/>
      <c r="D50" s="69">
        <v>0</v>
      </c>
      <c r="E50" s="69">
        <v>0</v>
      </c>
      <c r="F50" s="70">
        <v>165.03299999999999</v>
      </c>
      <c r="G50" s="48">
        <v>165.03300000000002</v>
      </c>
      <c r="H50" s="48">
        <v>165.03300000000002</v>
      </c>
      <c r="I50" s="106">
        <f t="shared" si="0"/>
        <v>0</v>
      </c>
    </row>
    <row r="51" spans="1:9" x14ac:dyDescent="0.3">
      <c r="A51" s="71" t="s">
        <v>39</v>
      </c>
      <c r="B51" s="72"/>
      <c r="C51" s="72"/>
      <c r="D51" s="72">
        <v>205.19999999999996</v>
      </c>
      <c r="E51" s="72">
        <v>205.19999999999996</v>
      </c>
      <c r="F51" s="73">
        <v>198</v>
      </c>
      <c r="G51" s="48">
        <v>198</v>
      </c>
      <c r="H51" s="48">
        <v>198</v>
      </c>
      <c r="I51" s="106">
        <f t="shared" si="0"/>
        <v>0</v>
      </c>
    </row>
    <row r="52" spans="1:9" ht="15" x14ac:dyDescent="0.3">
      <c r="A52" s="74" t="s">
        <v>40</v>
      </c>
      <c r="B52" s="75"/>
      <c r="C52" s="75"/>
      <c r="D52" s="75">
        <v>92.707209408096716</v>
      </c>
      <c r="E52" s="75">
        <v>89.863413887250204</v>
      </c>
      <c r="F52" s="76">
        <v>94.088279880109141</v>
      </c>
      <c r="G52" s="47">
        <v>93.396446603237692</v>
      </c>
      <c r="H52" s="47">
        <v>93.473607389177616</v>
      </c>
      <c r="I52" s="105">
        <f t="shared" si="0"/>
        <v>8.2616404313240466E-4</v>
      </c>
    </row>
    <row r="53" spans="1:9" x14ac:dyDescent="0.3">
      <c r="A53" s="71" t="s">
        <v>41</v>
      </c>
      <c r="B53" s="72"/>
      <c r="C53" s="72"/>
      <c r="D53" s="72">
        <v>9.4044721598185586</v>
      </c>
      <c r="E53" s="72">
        <v>8.4383433686823093</v>
      </c>
      <c r="F53" s="73">
        <v>7.8750695823602532</v>
      </c>
      <c r="G53" s="48">
        <v>7.7753407520708553</v>
      </c>
      <c r="H53" s="48">
        <v>7.7612400415774871</v>
      </c>
      <c r="I53" s="106">
        <f t="shared" si="0"/>
        <v>-1.8135167246030592E-3</v>
      </c>
    </row>
    <row r="54" spans="1:9" x14ac:dyDescent="0.3">
      <c r="A54" s="68" t="s">
        <v>42</v>
      </c>
      <c r="B54" s="69"/>
      <c r="C54" s="69"/>
      <c r="D54" s="69">
        <v>24.736070581611472</v>
      </c>
      <c r="E54" s="69">
        <v>22.858403851901201</v>
      </c>
      <c r="F54" s="70">
        <v>27.13414363108221</v>
      </c>
      <c r="G54" s="48">
        <v>26.249439184500169</v>
      </c>
      <c r="H54" s="48">
        <v>26.254180680933466</v>
      </c>
      <c r="I54" s="106">
        <f t="shared" si="0"/>
        <v>1.8063229465470343E-4</v>
      </c>
    </row>
    <row r="55" spans="1:9" x14ac:dyDescent="0.3">
      <c r="A55" s="71" t="s">
        <v>43</v>
      </c>
      <c r="B55" s="72"/>
      <c r="C55" s="72"/>
      <c r="D55" s="72">
        <v>58.566666666666684</v>
      </c>
      <c r="E55" s="72">
        <v>58.566666666666684</v>
      </c>
      <c r="F55" s="73">
        <v>59.079066666666677</v>
      </c>
      <c r="G55" s="48">
        <v>59.37166666666667</v>
      </c>
      <c r="H55" s="48">
        <v>59.458186666666663</v>
      </c>
      <c r="I55" s="106">
        <f t="shared" si="0"/>
        <v>1.457260758498613E-3</v>
      </c>
    </row>
    <row r="56" spans="1:9" s="4" customFormat="1" ht="15" x14ac:dyDescent="0.3">
      <c r="A56" s="74" t="s">
        <v>44</v>
      </c>
      <c r="B56" s="75"/>
      <c r="C56" s="75"/>
      <c r="D56" s="75">
        <v>400.22228038743179</v>
      </c>
      <c r="E56" s="75">
        <v>331.20229571508486</v>
      </c>
      <c r="F56" s="76">
        <v>297.05892402589933</v>
      </c>
      <c r="G56" s="47">
        <v>298.5535041666555</v>
      </c>
      <c r="H56" s="47">
        <v>294.97318320457117</v>
      </c>
      <c r="I56" s="105">
        <f t="shared" si="0"/>
        <v>-1.1992225554605329E-2</v>
      </c>
    </row>
    <row r="57" spans="1:9" x14ac:dyDescent="0.3">
      <c r="A57" s="71" t="s">
        <v>45</v>
      </c>
      <c r="B57" s="72"/>
      <c r="C57" s="72"/>
      <c r="D57" s="72">
        <v>400.22228038743179</v>
      </c>
      <c r="E57" s="72">
        <v>331.20229571508486</v>
      </c>
      <c r="F57" s="73">
        <v>297.05892402589933</v>
      </c>
      <c r="G57" s="48">
        <v>298.5535041666555</v>
      </c>
      <c r="H57" s="48">
        <v>294.97318320457117</v>
      </c>
      <c r="I57" s="106">
        <f t="shared" si="0"/>
        <v>-1.1992225554605329E-2</v>
      </c>
    </row>
    <row r="58" spans="1:9" ht="15" x14ac:dyDescent="0.3">
      <c r="A58" s="62" t="s">
        <v>46</v>
      </c>
      <c r="B58" s="63"/>
      <c r="C58" s="63"/>
      <c r="D58" s="63">
        <v>6186.8938977319704</v>
      </c>
      <c r="E58" s="63">
        <v>5657.9583031832135</v>
      </c>
      <c r="F58" s="77">
        <v>5668.4124636700662</v>
      </c>
      <c r="G58" s="46">
        <v>5540.95305040741</v>
      </c>
      <c r="H58" s="46">
        <v>5536.8664813728465</v>
      </c>
      <c r="I58" s="104">
        <f t="shared" si="0"/>
        <v>-7.3752096388235433E-4</v>
      </c>
    </row>
    <row r="59" spans="1:9" ht="15" x14ac:dyDescent="0.3">
      <c r="A59" s="65" t="s">
        <v>47</v>
      </c>
      <c r="B59" s="66"/>
      <c r="C59" s="66"/>
      <c r="D59" s="66">
        <v>530.92906209160708</v>
      </c>
      <c r="E59" s="66">
        <v>530.92906209160708</v>
      </c>
      <c r="F59" s="67">
        <v>218.74457006392242</v>
      </c>
      <c r="G59" s="47">
        <v>218.74457006392242</v>
      </c>
      <c r="H59" s="47">
        <v>218.74457006392242</v>
      </c>
      <c r="I59" s="105">
        <f t="shared" si="0"/>
        <v>0</v>
      </c>
    </row>
    <row r="60" spans="1:9" x14ac:dyDescent="0.3">
      <c r="A60" s="68" t="s">
        <v>48</v>
      </c>
      <c r="B60" s="69"/>
      <c r="C60" s="69"/>
      <c r="D60" s="69">
        <v>324.2433341982956</v>
      </c>
      <c r="E60" s="69">
        <v>324.2433341982956</v>
      </c>
      <c r="F60" s="70">
        <v>130.09806328961784</v>
      </c>
      <c r="G60" s="48">
        <v>130.09806328961784</v>
      </c>
      <c r="H60" s="48">
        <v>130.09806328961784</v>
      </c>
      <c r="I60" s="106">
        <f t="shared" si="0"/>
        <v>0</v>
      </c>
    </row>
    <row r="61" spans="1:9" x14ac:dyDescent="0.3">
      <c r="A61" s="71" t="s">
        <v>49</v>
      </c>
      <c r="B61" s="72"/>
      <c r="C61" s="72"/>
      <c r="D61" s="72">
        <v>157.00906122664472</v>
      </c>
      <c r="E61" s="72">
        <v>157.00906122664472</v>
      </c>
      <c r="F61" s="73">
        <v>55.450951218749026</v>
      </c>
      <c r="G61" s="48">
        <v>55.450951218749026</v>
      </c>
      <c r="H61" s="48">
        <v>55.450951218749026</v>
      </c>
      <c r="I61" s="106">
        <f t="shared" si="0"/>
        <v>0</v>
      </c>
    </row>
    <row r="62" spans="1:9" x14ac:dyDescent="0.3">
      <c r="A62" s="68" t="s">
        <v>50</v>
      </c>
      <c r="B62" s="69"/>
      <c r="C62" s="69"/>
      <c r="D62" s="69">
        <v>8.4000000000000021</v>
      </c>
      <c r="E62" s="69">
        <v>8.4000000000000021</v>
      </c>
      <c r="F62" s="70">
        <v>7.4666666666666677</v>
      </c>
      <c r="G62" s="48">
        <v>7.4666666666666668</v>
      </c>
      <c r="H62" s="48">
        <v>7.4666666666666668</v>
      </c>
      <c r="I62" s="106">
        <f t="shared" si="0"/>
        <v>0</v>
      </c>
    </row>
    <row r="63" spans="1:9" x14ac:dyDescent="0.3">
      <c r="A63" s="71" t="s">
        <v>51</v>
      </c>
      <c r="B63" s="72"/>
      <c r="C63" s="72"/>
      <c r="D63" s="72">
        <v>26.693333333333332</v>
      </c>
      <c r="E63" s="72">
        <v>26.693333333333332</v>
      </c>
      <c r="F63" s="73">
        <v>15.928888888888887</v>
      </c>
      <c r="G63" s="48">
        <v>15.928888888888888</v>
      </c>
      <c r="H63" s="48">
        <v>15.928888888888888</v>
      </c>
      <c r="I63" s="106">
        <f t="shared" si="0"/>
        <v>0</v>
      </c>
    </row>
    <row r="64" spans="1:9" x14ac:dyDescent="0.3">
      <c r="A64" s="68" t="s">
        <v>52</v>
      </c>
      <c r="B64" s="69"/>
      <c r="C64" s="69"/>
      <c r="D64" s="69">
        <v>14.583333333333336</v>
      </c>
      <c r="E64" s="69">
        <v>14.583333333333336</v>
      </c>
      <c r="F64" s="70">
        <v>9.7999999999999989</v>
      </c>
      <c r="G64" s="48">
        <v>9.8000000000000007</v>
      </c>
      <c r="H64" s="48">
        <v>9.8000000000000007</v>
      </c>
      <c r="I64" s="106">
        <f t="shared" si="0"/>
        <v>0</v>
      </c>
    </row>
    <row r="65" spans="1:9" ht="15" x14ac:dyDescent="0.3">
      <c r="A65" s="65" t="s">
        <v>53</v>
      </c>
      <c r="B65" s="66"/>
      <c r="C65" s="66"/>
      <c r="D65" s="66">
        <v>105</v>
      </c>
      <c r="E65" s="66">
        <v>105</v>
      </c>
      <c r="F65" s="67">
        <v>41.194967953907756</v>
      </c>
      <c r="G65" s="47">
        <v>42.003001427602598</v>
      </c>
      <c r="H65" s="47">
        <v>41.864969327250883</v>
      </c>
      <c r="I65" s="105">
        <f t="shared" si="0"/>
        <v>-3.2862437364060693E-3</v>
      </c>
    </row>
    <row r="66" spans="1:9" x14ac:dyDescent="0.3">
      <c r="A66" s="68" t="s">
        <v>54</v>
      </c>
      <c r="B66" s="69"/>
      <c r="C66" s="69"/>
      <c r="D66" s="69">
        <v>105</v>
      </c>
      <c r="E66" s="69">
        <v>105</v>
      </c>
      <c r="F66" s="70">
        <v>41.194967953907756</v>
      </c>
      <c r="G66" s="48">
        <v>42.003001427602598</v>
      </c>
      <c r="H66" s="48">
        <v>41.864969327250883</v>
      </c>
      <c r="I66" s="106">
        <f t="shared" si="0"/>
        <v>-3.2862437364060693E-3</v>
      </c>
    </row>
    <row r="67" spans="1:9" ht="15" x14ac:dyDescent="0.3">
      <c r="A67" s="78" t="s">
        <v>55</v>
      </c>
      <c r="B67" s="79"/>
      <c r="C67" s="79"/>
      <c r="D67" s="79">
        <v>6822.8229598235775</v>
      </c>
      <c r="E67" s="79">
        <v>6293.8873652748207</v>
      </c>
      <c r="F67" s="80">
        <v>5928.3520016878965</v>
      </c>
      <c r="G67" s="46">
        <v>5801.7006218989354</v>
      </c>
      <c r="H67" s="46">
        <v>5797.4760207640202</v>
      </c>
      <c r="I67" s="104">
        <f t="shared" si="0"/>
        <v>-7.2816599997749254E-4</v>
      </c>
    </row>
    <row r="68" spans="1:9" ht="15" x14ac:dyDescent="0.3">
      <c r="A68" s="74" t="s">
        <v>63</v>
      </c>
      <c r="B68" s="75"/>
      <c r="C68" s="75"/>
      <c r="D68" s="75">
        <v>934.47404445117456</v>
      </c>
      <c r="E68" s="75">
        <v>762.61560385239807</v>
      </c>
      <c r="F68" s="76">
        <v>814.02387950151444</v>
      </c>
      <c r="G68" s="47">
        <v>855.54204772117396</v>
      </c>
      <c r="H68" s="47">
        <v>849.96005562064693</v>
      </c>
      <c r="I68" s="105">
        <f t="shared" si="0"/>
        <v>-6.5245093626844497E-3</v>
      </c>
    </row>
    <row r="69" spans="1:9" x14ac:dyDescent="0.3">
      <c r="A69" s="71" t="s">
        <v>56</v>
      </c>
      <c r="B69" s="72"/>
      <c r="C69" s="72"/>
      <c r="D69" s="72">
        <v>266.81485359162116</v>
      </c>
      <c r="E69" s="72">
        <v>220.80153047672329</v>
      </c>
      <c r="F69" s="73">
        <v>445.58838603884891</v>
      </c>
      <c r="G69" s="48">
        <v>447.83025624998317</v>
      </c>
      <c r="H69" s="48">
        <v>442.45977480685661</v>
      </c>
      <c r="I69" s="106">
        <f t="shared" si="0"/>
        <v>-1.199222555460544E-2</v>
      </c>
    </row>
    <row r="70" spans="1:9" x14ac:dyDescent="0.3">
      <c r="A70" s="68" t="s">
        <v>57</v>
      </c>
      <c r="B70" s="69"/>
      <c r="C70" s="69"/>
      <c r="D70" s="69">
        <v>64.121949393202328</v>
      </c>
      <c r="E70" s="69">
        <v>47.171930522518551</v>
      </c>
      <c r="F70" s="70">
        <v>106.46198129155137</v>
      </c>
      <c r="G70" s="48">
        <v>116.63011128106402</v>
      </c>
      <c r="H70" s="48">
        <v>116.41860062366349</v>
      </c>
      <c r="I70" s="106">
        <f t="shared" si="0"/>
        <v>-1.8135167246030592E-3</v>
      </c>
    </row>
    <row r="71" spans="1:9" x14ac:dyDescent="0.3">
      <c r="A71" s="71" t="s">
        <v>58</v>
      </c>
      <c r="B71" s="72"/>
      <c r="C71" s="72"/>
      <c r="D71" s="72">
        <v>553.8627622996845</v>
      </c>
      <c r="E71" s="72">
        <v>453.93033729760072</v>
      </c>
      <c r="F71" s="73">
        <v>228.89851217111411</v>
      </c>
      <c r="G71" s="48">
        <v>254.33168019012675</v>
      </c>
      <c r="H71" s="48">
        <v>254.33168019012675</v>
      </c>
      <c r="I71" s="106">
        <f t="shared" si="0"/>
        <v>0</v>
      </c>
    </row>
    <row r="72" spans="1:9" x14ac:dyDescent="0.3">
      <c r="A72" s="68" t="s">
        <v>59</v>
      </c>
      <c r="B72" s="69"/>
      <c r="C72" s="69"/>
      <c r="D72" s="69">
        <v>49.674479166666679</v>
      </c>
      <c r="E72" s="69">
        <v>40.71180555555555</v>
      </c>
      <c r="F72" s="70">
        <v>33.074999999999996</v>
      </c>
      <c r="G72" s="49">
        <v>36.75</v>
      </c>
      <c r="H72" s="49">
        <v>36.75</v>
      </c>
      <c r="I72" s="107">
        <f t="shared" si="0"/>
        <v>0</v>
      </c>
    </row>
    <row r="73" spans="1:9" ht="15" x14ac:dyDescent="0.3">
      <c r="A73" s="81" t="s">
        <v>60</v>
      </c>
      <c r="B73" s="82"/>
      <c r="C73" s="82"/>
      <c r="D73" s="82">
        <v>7757.297004274752</v>
      </c>
      <c r="E73" s="82">
        <v>7056.5029691272184</v>
      </c>
      <c r="F73" s="80">
        <v>6742.3758811894113</v>
      </c>
      <c r="G73" s="46">
        <v>6657.2426696201092</v>
      </c>
      <c r="H73" s="46">
        <v>6647.4360763846671</v>
      </c>
      <c r="I73" s="104">
        <f t="shared" si="0"/>
        <v>-1.4730713182792288E-3</v>
      </c>
    </row>
    <row r="74" spans="1:9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x14ac:dyDescent="0.3">
      <c r="A75" s="85" t="s">
        <v>68</v>
      </c>
      <c r="B75" s="86"/>
      <c r="C75" s="86"/>
      <c r="D75" s="86">
        <v>57</v>
      </c>
      <c r="E75" s="86">
        <v>57</v>
      </c>
      <c r="F75" s="86">
        <v>55</v>
      </c>
      <c r="G75" s="108">
        <v>55</v>
      </c>
      <c r="H75" s="108">
        <v>55</v>
      </c>
      <c r="I75" s="102">
        <f t="shared" ref="I75:I76" si="1">IFERROR(H75/G75-1,"-")</f>
        <v>0</v>
      </c>
    </row>
    <row r="76" spans="1:9" x14ac:dyDescent="0.3">
      <c r="A76" s="87" t="s">
        <v>67</v>
      </c>
      <c r="B76" s="88"/>
      <c r="C76" s="88"/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5" x14ac:dyDescent="0.3">
      <c r="A77" s="89" t="s">
        <v>71</v>
      </c>
      <c r="B77" s="89"/>
      <c r="C77" s="89"/>
      <c r="D77" s="90"/>
      <c r="E77" s="90"/>
      <c r="F77" s="90"/>
      <c r="G77" s="90"/>
      <c r="H77" s="91"/>
      <c r="I77" s="92"/>
    </row>
    <row r="78" spans="1:9" x14ac:dyDescent="0.3">
      <c r="A78" s="89" t="s">
        <v>66</v>
      </c>
      <c r="B78" s="89"/>
      <c r="C78" s="89"/>
      <c r="D78" s="93"/>
      <c r="E78" s="93"/>
      <c r="F78" s="93"/>
      <c r="G78" s="93"/>
      <c r="H78" s="110"/>
      <c r="I78" s="93"/>
    </row>
    <row r="79" spans="1:9" x14ac:dyDescent="0.3">
      <c r="A79" s="41" t="s">
        <v>143</v>
      </c>
      <c r="B79" s="89"/>
      <c r="C79" s="89"/>
      <c r="D79" s="93"/>
      <c r="E79" s="93"/>
      <c r="F79" s="93"/>
      <c r="G79" s="93"/>
      <c r="H79" s="93"/>
      <c r="I79" s="93"/>
    </row>
    <row r="80" spans="1:9" ht="29.4" customHeight="1" x14ac:dyDescent="0.3">
      <c r="A80" s="123" t="s">
        <v>138</v>
      </c>
      <c r="B80" s="123"/>
      <c r="C80" s="123"/>
      <c r="D80" s="123"/>
      <c r="E80" s="123"/>
      <c r="F80" s="123"/>
      <c r="G80" s="123"/>
      <c r="H80" s="123"/>
      <c r="I80" s="123"/>
    </row>
    <row r="81" spans="1:9" ht="22.2" customHeight="1" x14ac:dyDescent="0.3">
      <c r="A81" s="94" t="s">
        <v>139</v>
      </c>
      <c r="B81" s="94"/>
      <c r="C81" s="94"/>
      <c r="D81" s="93"/>
      <c r="E81" s="93"/>
      <c r="F81" s="93"/>
      <c r="G81" s="93"/>
      <c r="H81" s="93"/>
      <c r="I81" s="93"/>
    </row>
    <row r="82" spans="1:9" ht="13.5" customHeight="1" x14ac:dyDescent="0.3">
      <c r="A82" s="124"/>
      <c r="B82" s="124"/>
      <c r="C82" s="124"/>
      <c r="D82" s="124"/>
      <c r="E82" s="124"/>
      <c r="F82" s="124"/>
      <c r="G82" s="124"/>
      <c r="H82" s="93"/>
      <c r="I82" s="93"/>
    </row>
  </sheetData>
  <mergeCells count="5">
    <mergeCell ref="A2:I2"/>
    <mergeCell ref="A3:I3"/>
    <mergeCell ref="A4:I4"/>
    <mergeCell ref="A80:I80"/>
    <mergeCell ref="A82:G82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D926-B4C0-4C6F-AB82-0BB603768E39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114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10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/>
      <c r="C9" s="64"/>
      <c r="D9" s="63"/>
      <c r="E9" s="63">
        <v>4139.0735500312094</v>
      </c>
      <c r="F9" s="99">
        <v>4308.5950729971428</v>
      </c>
      <c r="G9" s="46">
        <v>4492.9598641445691</v>
      </c>
      <c r="H9" s="46">
        <v>4489.0795337166346</v>
      </c>
      <c r="I9" s="104">
        <f>IFERROR(H9/G9-1,"-")</f>
        <v>-8.6364680417039263E-4</v>
      </c>
    </row>
    <row r="10" spans="1:9" ht="15" x14ac:dyDescent="0.3">
      <c r="A10" s="65" t="s">
        <v>3</v>
      </c>
      <c r="B10" s="66"/>
      <c r="C10" s="66"/>
      <c r="D10" s="66"/>
      <c r="E10" s="66">
        <v>665.55484857352781</v>
      </c>
      <c r="F10" s="95">
        <v>610.38460567914683</v>
      </c>
      <c r="G10" s="47">
        <v>484.77258035819546</v>
      </c>
      <c r="H10" s="47">
        <v>466.72394584170195</v>
      </c>
      <c r="I10" s="105">
        <f t="shared" ref="I10:I73" si="0">IFERROR(H10/G10-1,"-")</f>
        <v>-3.7231137336929176E-2</v>
      </c>
    </row>
    <row r="11" spans="1:9" ht="14.4" x14ac:dyDescent="0.3">
      <c r="A11" s="68" t="s">
        <v>4</v>
      </c>
      <c r="B11" s="69"/>
      <c r="C11" s="69"/>
      <c r="D11" s="69"/>
      <c r="E11" s="69">
        <v>646.8963675675742</v>
      </c>
      <c r="F11" s="96">
        <v>588.66241028869865</v>
      </c>
      <c r="G11" s="48">
        <v>477.10904836334095</v>
      </c>
      <c r="H11" s="48">
        <v>459.14270778999861</v>
      </c>
      <c r="I11" s="106">
        <f t="shared" si="0"/>
        <v>-3.7656675418279106E-2</v>
      </c>
    </row>
    <row r="12" spans="1:9" ht="14.4" x14ac:dyDescent="0.3">
      <c r="A12" s="71" t="s">
        <v>5</v>
      </c>
      <c r="B12" s="72"/>
      <c r="C12" s="72"/>
      <c r="D12" s="72"/>
      <c r="E12" s="72">
        <v>18.65848100595359</v>
      </c>
      <c r="F12" s="97">
        <v>21.722195390448157</v>
      </c>
      <c r="G12" s="48">
        <v>7.6635319948545364</v>
      </c>
      <c r="H12" s="48">
        <v>7.5812380517033544</v>
      </c>
      <c r="I12" s="106">
        <f t="shared" si="0"/>
        <v>-1.0738383190209921E-2</v>
      </c>
    </row>
    <row r="13" spans="1:9" ht="15" x14ac:dyDescent="0.3">
      <c r="A13" s="74" t="s">
        <v>6</v>
      </c>
      <c r="B13" s="75"/>
      <c r="C13" s="75"/>
      <c r="D13" s="75"/>
      <c r="E13" s="75">
        <v>1858.4080420140228</v>
      </c>
      <c r="F13" s="98">
        <v>2122.251096997159</v>
      </c>
      <c r="G13" s="47">
        <v>2015.0270820783883</v>
      </c>
      <c r="H13" s="47">
        <v>2029.1370782949216</v>
      </c>
      <c r="I13" s="105">
        <f t="shared" si="0"/>
        <v>7.0023853982050799E-3</v>
      </c>
    </row>
    <row r="14" spans="1:9" ht="14.4" x14ac:dyDescent="0.3">
      <c r="A14" s="71" t="s">
        <v>7</v>
      </c>
      <c r="B14" s="72"/>
      <c r="C14" s="72"/>
      <c r="D14" s="72"/>
      <c r="E14" s="72">
        <v>206.66146427892622</v>
      </c>
      <c r="F14" s="97">
        <v>234.34692450428159</v>
      </c>
      <c r="G14" s="48">
        <v>288.63807569178982</v>
      </c>
      <c r="H14" s="48">
        <v>290.25317552846229</v>
      </c>
      <c r="I14" s="106">
        <f t="shared" si="0"/>
        <v>5.5955882909817234E-3</v>
      </c>
    </row>
    <row r="15" spans="1:9" ht="14.4" x14ac:dyDescent="0.3">
      <c r="A15" s="68" t="s">
        <v>8</v>
      </c>
      <c r="B15" s="69"/>
      <c r="C15" s="69"/>
      <c r="D15" s="69"/>
      <c r="E15" s="69">
        <v>1361.7476834225058</v>
      </c>
      <c r="F15" s="96">
        <v>1586.4588000127326</v>
      </c>
      <c r="G15" s="48">
        <v>1546.0113935407201</v>
      </c>
      <c r="H15" s="48">
        <v>1558.837359633294</v>
      </c>
      <c r="I15" s="106">
        <f t="shared" si="0"/>
        <v>8.2961653103987842E-3</v>
      </c>
    </row>
    <row r="16" spans="1:9" ht="14.4" x14ac:dyDescent="0.3">
      <c r="A16" s="71" t="s">
        <v>9</v>
      </c>
      <c r="B16" s="72"/>
      <c r="C16" s="72"/>
      <c r="D16" s="72"/>
      <c r="E16" s="72">
        <v>289.99889431259083</v>
      </c>
      <c r="F16" s="97">
        <v>301.44537248014495</v>
      </c>
      <c r="G16" s="48">
        <v>180.37761284587822</v>
      </c>
      <c r="H16" s="48">
        <v>180.04654313316541</v>
      </c>
      <c r="I16" s="106">
        <f t="shared" si="0"/>
        <v>-1.8354257354302739E-3</v>
      </c>
    </row>
    <row r="17" spans="1:9" ht="15" x14ac:dyDescent="0.3">
      <c r="A17" s="74" t="s">
        <v>10</v>
      </c>
      <c r="B17" s="75"/>
      <c r="C17" s="75"/>
      <c r="D17" s="75"/>
      <c r="E17" s="75">
        <v>1204.4315301579275</v>
      </c>
      <c r="F17" s="98">
        <v>1155.6052333458254</v>
      </c>
      <c r="G17" s="47">
        <v>1552.584285757086</v>
      </c>
      <c r="H17" s="47">
        <v>1553.0614282799481</v>
      </c>
      <c r="I17" s="105">
        <f t="shared" si="0"/>
        <v>3.0732149438783551E-4</v>
      </c>
    </row>
    <row r="18" spans="1:9" ht="14.4" x14ac:dyDescent="0.3">
      <c r="A18" s="71" t="s">
        <v>11</v>
      </c>
      <c r="B18" s="72"/>
      <c r="C18" s="72"/>
      <c r="D18" s="72"/>
      <c r="E18" s="72">
        <v>573.99317915045287</v>
      </c>
      <c r="F18" s="97">
        <v>566.02248769315133</v>
      </c>
      <c r="G18" s="48">
        <v>567.90601942851515</v>
      </c>
      <c r="H18" s="48">
        <v>565.26026223124904</v>
      </c>
      <c r="I18" s="106">
        <f t="shared" si="0"/>
        <v>-4.6587940728793908E-3</v>
      </c>
    </row>
    <row r="19" spans="1:9" ht="14.4" x14ac:dyDescent="0.3">
      <c r="A19" s="68" t="s">
        <v>12</v>
      </c>
      <c r="B19" s="69"/>
      <c r="C19" s="69"/>
      <c r="D19" s="69"/>
      <c r="E19" s="69">
        <v>199.13472624617117</v>
      </c>
      <c r="F19" s="96">
        <v>184.71915024435449</v>
      </c>
      <c r="G19" s="48">
        <v>280.87165296774924</v>
      </c>
      <c r="H19" s="48">
        <v>283.55139055731331</v>
      </c>
      <c r="I19" s="106">
        <f t="shared" si="0"/>
        <v>9.5407904687048184E-3</v>
      </c>
    </row>
    <row r="20" spans="1:9" ht="14.4" x14ac:dyDescent="0.3">
      <c r="A20" s="71" t="s">
        <v>13</v>
      </c>
      <c r="B20" s="72"/>
      <c r="C20" s="72"/>
      <c r="D20" s="72"/>
      <c r="E20" s="72">
        <v>356.3583220199767</v>
      </c>
      <c r="F20" s="97">
        <v>332.21840407204195</v>
      </c>
      <c r="G20" s="48">
        <v>536.80417664958588</v>
      </c>
      <c r="H20" s="48">
        <v>534.56703672559172</v>
      </c>
      <c r="I20" s="106">
        <f t="shared" si="0"/>
        <v>-4.1675158676243163E-3</v>
      </c>
    </row>
    <row r="21" spans="1:9" ht="14.4" x14ac:dyDescent="0.3">
      <c r="A21" s="68" t="s">
        <v>14</v>
      </c>
      <c r="B21" s="69"/>
      <c r="C21" s="69"/>
      <c r="D21" s="69"/>
      <c r="E21" s="69">
        <v>74.945302741326785</v>
      </c>
      <c r="F21" s="96">
        <v>72.645191336277591</v>
      </c>
      <c r="G21" s="48">
        <v>167.00243671123573</v>
      </c>
      <c r="H21" s="48">
        <v>169.68273876579408</v>
      </c>
      <c r="I21" s="106">
        <f t="shared" si="0"/>
        <v>1.6049478722234944E-2</v>
      </c>
    </row>
    <row r="22" spans="1:9" ht="15" x14ac:dyDescent="0.3">
      <c r="A22" s="74" t="s">
        <v>129</v>
      </c>
      <c r="B22" s="75"/>
      <c r="C22" s="75"/>
      <c r="D22" s="75"/>
      <c r="E22" s="75">
        <v>274.46788874380303</v>
      </c>
      <c r="F22" s="98">
        <v>285.54894674089564</v>
      </c>
      <c r="G22" s="47">
        <v>277.50684731171492</v>
      </c>
      <c r="H22" s="47">
        <v>277.50764933394339</v>
      </c>
      <c r="I22" s="105">
        <f t="shared" si="0"/>
        <v>2.8900988795488303E-6</v>
      </c>
    </row>
    <row r="23" spans="1:9" ht="14.4" x14ac:dyDescent="0.3">
      <c r="A23" s="71" t="s">
        <v>15</v>
      </c>
      <c r="B23" s="72"/>
      <c r="C23" s="72"/>
      <c r="D23" s="72"/>
      <c r="E23" s="72">
        <v>14.015952524719507</v>
      </c>
      <c r="F23" s="97">
        <v>14.581816835920904</v>
      </c>
      <c r="G23" s="48">
        <v>18.793479539214928</v>
      </c>
      <c r="H23" s="48">
        <v>18.793533854229086</v>
      </c>
      <c r="I23" s="106">
        <f>IFERROR(H23/G23-1,"-")</f>
        <v>2.8900988795488303E-6</v>
      </c>
    </row>
    <row r="24" spans="1:9" ht="14.4" x14ac:dyDescent="0.3">
      <c r="A24" s="68" t="s">
        <v>16</v>
      </c>
      <c r="B24" s="69"/>
      <c r="C24" s="69"/>
      <c r="D24" s="69"/>
      <c r="E24" s="69">
        <v>64.177834688084019</v>
      </c>
      <c r="F24" s="96">
        <v>66.768878440274278</v>
      </c>
      <c r="G24" s="48">
        <v>64.342514218858781</v>
      </c>
      <c r="H24" s="48">
        <v>64.342700175087032</v>
      </c>
      <c r="I24" s="106">
        <f t="shared" si="0"/>
        <v>2.8900988795488303E-6</v>
      </c>
    </row>
    <row r="25" spans="1:9" ht="14.4" x14ac:dyDescent="0.3">
      <c r="A25" s="71" t="s">
        <v>17</v>
      </c>
      <c r="B25" s="72"/>
      <c r="C25" s="72"/>
      <c r="D25" s="72"/>
      <c r="E25" s="72">
        <v>54.50618828916447</v>
      </c>
      <c r="F25" s="97">
        <v>56.706759862025088</v>
      </c>
      <c r="G25" s="48">
        <v>50.310471068819716</v>
      </c>
      <c r="H25" s="48">
        <v>50.310616471055774</v>
      </c>
      <c r="I25" s="106">
        <f t="shared" si="0"/>
        <v>2.8900988793267857E-6</v>
      </c>
    </row>
    <row r="26" spans="1:9" ht="14.4" x14ac:dyDescent="0.3">
      <c r="A26" s="68" t="s">
        <v>61</v>
      </c>
      <c r="B26" s="69"/>
      <c r="C26" s="69"/>
      <c r="D26" s="69"/>
      <c r="E26" s="69">
        <v>0</v>
      </c>
      <c r="F26" s="96"/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/>
      <c r="C27" s="72"/>
      <c r="D27" s="72"/>
      <c r="E27" s="72">
        <v>141.76791324183503</v>
      </c>
      <c r="F27" s="113">
        <v>147.49149160267538</v>
      </c>
      <c r="G27" s="48">
        <v>144.0603824848215</v>
      </c>
      <c r="H27" s="48">
        <v>144.06079883357148</v>
      </c>
      <c r="I27" s="106">
        <f t="shared" si="0"/>
        <v>2.8900988793267857E-6</v>
      </c>
    </row>
    <row r="28" spans="1:9" ht="14.4" x14ac:dyDescent="0.3">
      <c r="A28" s="68" t="s">
        <v>19</v>
      </c>
      <c r="B28" s="69"/>
      <c r="C28" s="69"/>
      <c r="D28" s="69"/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/>
      <c r="C29" s="66"/>
      <c r="D29" s="66"/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/>
      <c r="C30" s="69"/>
      <c r="D30" s="69"/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/>
      <c r="C31" s="66"/>
      <c r="D31" s="66"/>
      <c r="E31" s="66">
        <v>136.21124054192819</v>
      </c>
      <c r="F31" s="95">
        <v>134.80519023411543</v>
      </c>
      <c r="G31" s="47">
        <v>163.06906863918451</v>
      </c>
      <c r="H31" s="47">
        <v>162.64943196611986</v>
      </c>
      <c r="I31" s="105">
        <f t="shared" si="0"/>
        <v>-2.5733676936191552E-3</v>
      </c>
    </row>
    <row r="32" spans="1:9" ht="14.4" x14ac:dyDescent="0.3">
      <c r="A32" s="68" t="s">
        <v>21</v>
      </c>
      <c r="B32" s="69"/>
      <c r="C32" s="69"/>
      <c r="D32" s="69"/>
      <c r="E32" s="69">
        <v>108.64713797782564</v>
      </c>
      <c r="F32" s="96">
        <v>107.24108767001286</v>
      </c>
      <c r="G32" s="48">
        <v>134.54022248533835</v>
      </c>
      <c r="H32" s="48">
        <v>134.1205858122737</v>
      </c>
      <c r="I32" s="106">
        <f t="shared" si="0"/>
        <v>-3.1190425087217477E-3</v>
      </c>
    </row>
    <row r="33" spans="1:20" ht="14.4" x14ac:dyDescent="0.3">
      <c r="A33" s="71" t="s">
        <v>22</v>
      </c>
      <c r="B33" s="72"/>
      <c r="C33" s="72"/>
      <c r="D33" s="72"/>
      <c r="E33" s="72">
        <v>27.564102564102559</v>
      </c>
      <c r="F33" s="97">
        <v>27.564102564102559</v>
      </c>
      <c r="G33" s="48">
        <v>28.528846153846153</v>
      </c>
      <c r="H33" s="48">
        <v>28.528846153846153</v>
      </c>
      <c r="I33" s="106">
        <f t="shared" si="0"/>
        <v>0</v>
      </c>
    </row>
    <row r="34" spans="1:20" ht="15" x14ac:dyDescent="0.3">
      <c r="A34" s="74" t="s">
        <v>23</v>
      </c>
      <c r="B34" s="75"/>
      <c r="C34" s="75"/>
      <c r="D34" s="75"/>
      <c r="E34" s="75">
        <v>402.67767246642245</v>
      </c>
      <c r="F34" s="98">
        <v>402.67767246642245</v>
      </c>
      <c r="G34" s="47">
        <v>373.44465354090352</v>
      </c>
      <c r="H34" s="47">
        <v>373.44465354090352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/>
      <c r="C35" s="72"/>
      <c r="D35" s="72"/>
      <c r="E35" s="72">
        <v>399.88536477411475</v>
      </c>
      <c r="F35" s="97">
        <v>399.88536477411475</v>
      </c>
      <c r="G35" s="48">
        <v>370.53648046398047</v>
      </c>
      <c r="H35" s="48">
        <v>370.53648046398047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/>
      <c r="C36" s="69"/>
      <c r="D36" s="69"/>
      <c r="E36" s="69">
        <v>2.7923076923076917</v>
      </c>
      <c r="F36" s="96">
        <v>2.7923076923076917</v>
      </c>
      <c r="G36" s="48">
        <v>2.9081730769230769</v>
      </c>
      <c r="H36" s="48">
        <v>2.9081730769230769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/>
      <c r="C37" s="66"/>
      <c r="D37" s="66"/>
      <c r="E37" s="66">
        <v>226.79144064330629</v>
      </c>
      <c r="F37" s="95">
        <v>234.44986122203781</v>
      </c>
      <c r="G37" s="47">
        <v>244.46063745334649</v>
      </c>
      <c r="H37" s="47">
        <v>244.33908745334648</v>
      </c>
      <c r="I37" s="105">
        <f t="shared" si="0"/>
        <v>-4.9721706228966767E-4</v>
      </c>
    </row>
    <row r="38" spans="1:20" ht="14.4" x14ac:dyDescent="0.3">
      <c r="A38" s="68" t="s">
        <v>27</v>
      </c>
      <c r="B38" s="69"/>
      <c r="C38" s="69"/>
      <c r="D38" s="69"/>
      <c r="E38" s="69">
        <v>36.410641027921677</v>
      </c>
      <c r="F38" s="96">
        <v>36.515973606653233</v>
      </c>
      <c r="G38" s="48">
        <v>37.372960671478339</v>
      </c>
      <c r="H38" s="48">
        <v>37.25141067147834</v>
      </c>
      <c r="I38" s="106">
        <f t="shared" si="0"/>
        <v>-3.2523513742587218E-3</v>
      </c>
    </row>
    <row r="39" spans="1:20" ht="14.4" x14ac:dyDescent="0.3">
      <c r="A39" s="71" t="s">
        <v>28</v>
      </c>
      <c r="B39" s="72"/>
      <c r="C39" s="72"/>
      <c r="D39" s="72"/>
      <c r="E39" s="72">
        <v>83.960999999999999</v>
      </c>
      <c r="F39" s="97">
        <v>87.532199999999989</v>
      </c>
      <c r="G39" s="48">
        <v>94.961100000000016</v>
      </c>
      <c r="H39" s="48">
        <v>94.961100000000016</v>
      </c>
      <c r="I39" s="106">
        <f t="shared" si="0"/>
        <v>0</v>
      </c>
    </row>
    <row r="40" spans="1:20" ht="14.4" x14ac:dyDescent="0.3">
      <c r="A40" s="68" t="s">
        <v>29</v>
      </c>
      <c r="B40" s="69"/>
      <c r="C40" s="69"/>
      <c r="D40" s="69"/>
      <c r="E40" s="69">
        <v>83.960999999999999</v>
      </c>
      <c r="F40" s="96">
        <v>87.532199999999989</v>
      </c>
      <c r="G40" s="48">
        <v>94.961100000000016</v>
      </c>
      <c r="H40" s="48">
        <v>94.961100000000016</v>
      </c>
      <c r="I40" s="106">
        <f t="shared" si="0"/>
        <v>0</v>
      </c>
    </row>
    <row r="41" spans="1:20" ht="14.4" x14ac:dyDescent="0.3">
      <c r="A41" s="71" t="s">
        <v>30</v>
      </c>
      <c r="B41" s="72"/>
      <c r="C41" s="72"/>
      <c r="D41" s="72"/>
      <c r="E41" s="72">
        <v>7.0490538461538463</v>
      </c>
      <c r="F41" s="97">
        <v>7.0490538461538463</v>
      </c>
      <c r="G41" s="48">
        <v>2.5162964357142861</v>
      </c>
      <c r="H41" s="48">
        <v>2.5162964357142861</v>
      </c>
      <c r="I41" s="106">
        <f t="shared" si="0"/>
        <v>0</v>
      </c>
    </row>
    <row r="42" spans="1:20" ht="14.4" x14ac:dyDescent="0.3">
      <c r="A42" s="68" t="s">
        <v>31</v>
      </c>
      <c r="B42" s="69"/>
      <c r="C42" s="69"/>
      <c r="D42" s="69"/>
      <c r="E42" s="69">
        <v>9.6555149999999994</v>
      </c>
      <c r="F42" s="96">
        <v>10.066202999999996</v>
      </c>
      <c r="G42" s="48">
        <v>10.920526499999999</v>
      </c>
      <c r="H42" s="48">
        <v>10.920526499999999</v>
      </c>
      <c r="I42" s="106">
        <f t="shared" si="0"/>
        <v>0</v>
      </c>
    </row>
    <row r="43" spans="1:20" ht="14.4" x14ac:dyDescent="0.3">
      <c r="A43" s="71" t="s">
        <v>32</v>
      </c>
      <c r="B43" s="72"/>
      <c r="C43" s="72"/>
      <c r="D43" s="72"/>
      <c r="E43" s="72">
        <v>5.7542307692307721</v>
      </c>
      <c r="F43" s="97">
        <v>5.7542307692307721</v>
      </c>
      <c r="G43" s="48">
        <v>3.7286538461538461</v>
      </c>
      <c r="H43" s="48">
        <v>3.7286538461538461</v>
      </c>
      <c r="I43" s="106">
        <f t="shared" si="0"/>
        <v>0</v>
      </c>
    </row>
    <row r="44" spans="1:20" ht="15" x14ac:dyDescent="0.3">
      <c r="A44" s="74" t="s">
        <v>33</v>
      </c>
      <c r="B44" s="75"/>
      <c r="C44" s="75"/>
      <c r="D44" s="75"/>
      <c r="E44" s="75">
        <v>441.95099794491813</v>
      </c>
      <c r="F44" s="98">
        <v>455.69804821831877</v>
      </c>
      <c r="G44" s="47">
        <v>526.5995589743801</v>
      </c>
      <c r="H44" s="47">
        <v>525.48219603651796</v>
      </c>
      <c r="I44" s="105">
        <f t="shared" si="0"/>
        <v>-2.1218455633315036E-3</v>
      </c>
    </row>
    <row r="45" spans="1:20" ht="14.4" x14ac:dyDescent="0.3">
      <c r="A45" s="71" t="s">
        <v>34</v>
      </c>
      <c r="B45" s="72"/>
      <c r="C45" s="72"/>
      <c r="D45" s="72"/>
      <c r="E45" s="72">
        <v>389.99910520879126</v>
      </c>
      <c r="F45" s="97">
        <v>402.97048807176884</v>
      </c>
      <c r="G45" s="48">
        <v>459.07038124163523</v>
      </c>
      <c r="H45" s="48">
        <v>458.042081703615</v>
      </c>
      <c r="I45" s="106">
        <f t="shared" si="0"/>
        <v>-2.2399605377263487E-3</v>
      </c>
    </row>
    <row r="46" spans="1:20" ht="14.4" x14ac:dyDescent="0.3">
      <c r="A46" s="68" t="s">
        <v>35</v>
      </c>
      <c r="B46" s="69"/>
      <c r="C46" s="69"/>
      <c r="D46" s="69"/>
      <c r="E46" s="69">
        <v>23.321306540724844</v>
      </c>
      <c r="F46" s="96">
        <v>24.096973951147884</v>
      </c>
      <c r="G46" s="48">
        <v>39.761146833537168</v>
      </c>
      <c r="H46" s="48">
        <v>39.672083433695278</v>
      </c>
      <c r="I46" s="106">
        <f t="shared" si="0"/>
        <v>-2.2399605377270149E-3</v>
      </c>
    </row>
    <row r="47" spans="1:20" ht="14.4" x14ac:dyDescent="0.3">
      <c r="A47" s="71" t="s">
        <v>36</v>
      </c>
      <c r="B47" s="72"/>
      <c r="C47" s="72"/>
      <c r="D47" s="72"/>
      <c r="E47" s="72">
        <v>28.630586195402028</v>
      </c>
      <c r="F47" s="97">
        <v>28.630586195402028</v>
      </c>
      <c r="G47" s="48">
        <v>27.768030899207695</v>
      </c>
      <c r="H47" s="48">
        <v>27.768030899207695</v>
      </c>
      <c r="I47" s="106">
        <f t="shared" si="0"/>
        <v>0</v>
      </c>
    </row>
    <row r="48" spans="1:20" ht="15" x14ac:dyDescent="0.3">
      <c r="A48" s="74" t="s">
        <v>37</v>
      </c>
      <c r="B48" s="75"/>
      <c r="C48" s="75"/>
      <c r="D48" s="75"/>
      <c r="E48" s="75">
        <v>398.95305419900296</v>
      </c>
      <c r="F48" s="98">
        <v>406.99111215478842</v>
      </c>
      <c r="G48" s="47">
        <v>432.97409999999996</v>
      </c>
      <c r="H48" s="47">
        <v>432.97409999999996</v>
      </c>
      <c r="I48" s="105">
        <f t="shared" si="0"/>
        <v>0</v>
      </c>
    </row>
    <row r="49" spans="1:9" ht="14.4" x14ac:dyDescent="0.3">
      <c r="A49" s="71" t="s">
        <v>62</v>
      </c>
      <c r="B49" s="72"/>
      <c r="C49" s="72"/>
      <c r="D49" s="72"/>
      <c r="E49" s="72">
        <v>248.94105419900302</v>
      </c>
      <c r="F49" s="97">
        <v>256.97911215478848</v>
      </c>
      <c r="G49" s="48">
        <v>227.5455</v>
      </c>
      <c r="H49" s="48">
        <v>227.5455</v>
      </c>
      <c r="I49" s="106">
        <f t="shared" si="0"/>
        <v>0</v>
      </c>
    </row>
    <row r="50" spans="1:9" ht="14.4" x14ac:dyDescent="0.3">
      <c r="A50" s="68" t="s">
        <v>38</v>
      </c>
      <c r="B50" s="69"/>
      <c r="C50" s="69"/>
      <c r="D50" s="69"/>
      <c r="E50" s="69">
        <v>0</v>
      </c>
      <c r="F50" s="96">
        <v>0</v>
      </c>
      <c r="G50" s="48">
        <v>62.4</v>
      </c>
      <c r="H50" s="48">
        <v>62.4</v>
      </c>
      <c r="I50" s="106">
        <f t="shared" si="0"/>
        <v>0</v>
      </c>
    </row>
    <row r="51" spans="1:9" ht="14.4" x14ac:dyDescent="0.3">
      <c r="A51" s="71" t="s">
        <v>39</v>
      </c>
      <c r="B51" s="72"/>
      <c r="C51" s="72"/>
      <c r="D51" s="72"/>
      <c r="E51" s="72">
        <v>150.01199999999997</v>
      </c>
      <c r="F51" s="97">
        <v>150.01199999999997</v>
      </c>
      <c r="G51" s="48">
        <v>143.02859999999998</v>
      </c>
      <c r="H51" s="48">
        <v>143.02859999999998</v>
      </c>
      <c r="I51" s="106">
        <f t="shared" si="0"/>
        <v>0</v>
      </c>
    </row>
    <row r="52" spans="1:9" ht="15" x14ac:dyDescent="0.3">
      <c r="A52" s="74" t="s">
        <v>40</v>
      </c>
      <c r="B52" s="75"/>
      <c r="C52" s="75"/>
      <c r="D52" s="75"/>
      <c r="E52" s="75">
        <v>103.61518198734332</v>
      </c>
      <c r="F52" s="98">
        <v>104.7565368727017</v>
      </c>
      <c r="G52" s="47">
        <v>102.78792126290298</v>
      </c>
      <c r="H52" s="47">
        <v>102.75880488909235</v>
      </c>
      <c r="I52" s="105">
        <f t="shared" si="0"/>
        <v>-2.8326649136301008E-4</v>
      </c>
    </row>
    <row r="53" spans="1:9" ht="14.4" x14ac:dyDescent="0.3">
      <c r="A53" s="71" t="s">
        <v>41</v>
      </c>
      <c r="B53" s="72"/>
      <c r="C53" s="72"/>
      <c r="D53" s="72"/>
      <c r="E53" s="72">
        <v>9.4059218522189028</v>
      </c>
      <c r="F53" s="97">
        <v>9.7186992317458518</v>
      </c>
      <c r="G53" s="48">
        <v>16.022625787817539</v>
      </c>
      <c r="H53" s="48">
        <v>15.986093021844511</v>
      </c>
      <c r="I53" s="106">
        <f t="shared" si="0"/>
        <v>-2.2800735944794592E-3</v>
      </c>
    </row>
    <row r="54" spans="1:9" ht="14.4" x14ac:dyDescent="0.3">
      <c r="A54" s="68" t="s">
        <v>42</v>
      </c>
      <c r="B54" s="69"/>
      <c r="C54" s="69"/>
      <c r="D54" s="69"/>
      <c r="E54" s="69">
        <v>20.363106288970592</v>
      </c>
      <c r="F54" s="96">
        <v>21.191683794802024</v>
      </c>
      <c r="G54" s="48">
        <v>15.996064705854682</v>
      </c>
      <c r="H54" s="48">
        <v>16.00348109801708</v>
      </c>
      <c r="I54" s="106">
        <f t="shared" si="0"/>
        <v>4.6363854477804445E-4</v>
      </c>
    </row>
    <row r="55" spans="1:9" ht="14.4" x14ac:dyDescent="0.3">
      <c r="A55" s="71" t="s">
        <v>43</v>
      </c>
      <c r="B55" s="72"/>
      <c r="C55" s="72"/>
      <c r="D55" s="72"/>
      <c r="E55" s="72">
        <v>73.846153846153825</v>
      </c>
      <c r="F55" s="97">
        <v>73.846153846153825</v>
      </c>
      <c r="G55" s="48">
        <v>70.769230769230759</v>
      </c>
      <c r="H55" s="48">
        <v>70.769230769230759</v>
      </c>
      <c r="I55" s="106">
        <f t="shared" si="0"/>
        <v>0</v>
      </c>
    </row>
    <row r="56" spans="1:9" s="4" customFormat="1" ht="15" x14ac:dyDescent="0.3">
      <c r="A56" s="74" t="s">
        <v>44</v>
      </c>
      <c r="B56" s="75"/>
      <c r="C56" s="75"/>
      <c r="D56" s="75"/>
      <c r="E56" s="75">
        <v>159.57759884551479</v>
      </c>
      <c r="F56" s="98">
        <v>177.58410405751852</v>
      </c>
      <c r="G56" s="47">
        <v>307.55970917717974</v>
      </c>
      <c r="H56" s="47">
        <v>303.68098745519438</v>
      </c>
      <c r="I56" s="105">
        <f t="shared" si="0"/>
        <v>-1.261128036686654E-2</v>
      </c>
    </row>
    <row r="57" spans="1:9" ht="14.4" x14ac:dyDescent="0.3">
      <c r="A57" s="71" t="s">
        <v>45</v>
      </c>
      <c r="B57" s="72"/>
      <c r="C57" s="72"/>
      <c r="D57" s="72"/>
      <c r="E57" s="72">
        <v>159.57759884551479</v>
      </c>
      <c r="F57" s="97">
        <v>177.58410405751852</v>
      </c>
      <c r="G57" s="48">
        <v>307.55970917717974</v>
      </c>
      <c r="H57" s="48">
        <v>303.68098745519438</v>
      </c>
      <c r="I57" s="106">
        <f t="shared" si="0"/>
        <v>-1.261128036686654E-2</v>
      </c>
    </row>
    <row r="58" spans="1:9" ht="15" x14ac:dyDescent="0.3">
      <c r="A58" s="62" t="s">
        <v>46</v>
      </c>
      <c r="B58" s="63"/>
      <c r="C58" s="63"/>
      <c r="D58" s="63"/>
      <c r="E58" s="63">
        <v>5872.6394961177175</v>
      </c>
      <c r="F58" s="99">
        <v>6090.7524079889299</v>
      </c>
      <c r="G58" s="46">
        <v>6480.7864445532814</v>
      </c>
      <c r="H58" s="46">
        <v>6471.759363091689</v>
      </c>
      <c r="I58" s="104">
        <f t="shared" si="0"/>
        <v>-1.3928990777314354E-3</v>
      </c>
    </row>
    <row r="59" spans="1:9" ht="15" x14ac:dyDescent="0.3">
      <c r="A59" s="65" t="s">
        <v>47</v>
      </c>
      <c r="B59" s="66"/>
      <c r="C59" s="66"/>
      <c r="D59" s="66"/>
      <c r="E59" s="66">
        <v>407.74829479667733</v>
      </c>
      <c r="F59" s="95">
        <v>407.74829479667733</v>
      </c>
      <c r="G59" s="47">
        <v>380.36857885936757</v>
      </c>
      <c r="H59" s="47">
        <v>380.36857885936757</v>
      </c>
      <c r="I59" s="105">
        <f t="shared" si="0"/>
        <v>0</v>
      </c>
    </row>
    <row r="60" spans="1:9" ht="14.4" x14ac:dyDescent="0.3">
      <c r="A60" s="68" t="s">
        <v>48</v>
      </c>
      <c r="B60" s="69"/>
      <c r="C60" s="69"/>
      <c r="D60" s="69"/>
      <c r="E60" s="69">
        <v>286.93470788615383</v>
      </c>
      <c r="F60" s="96">
        <v>286.93470788615383</v>
      </c>
      <c r="G60" s="48">
        <v>276.92926653060687</v>
      </c>
      <c r="H60" s="48">
        <v>276.92926653060687</v>
      </c>
      <c r="I60" s="106">
        <f t="shared" si="0"/>
        <v>0</v>
      </c>
    </row>
    <row r="61" spans="1:9" ht="14.4" x14ac:dyDescent="0.3">
      <c r="A61" s="71" t="s">
        <v>49</v>
      </c>
      <c r="B61" s="72"/>
      <c r="C61" s="72"/>
      <c r="D61" s="72"/>
      <c r="E61" s="72">
        <v>91.441279218215826</v>
      </c>
      <c r="F61" s="97">
        <v>91.441279218215826</v>
      </c>
      <c r="G61" s="48">
        <v>79.315850790299208</v>
      </c>
      <c r="H61" s="48">
        <v>79.315850790299208</v>
      </c>
      <c r="I61" s="106">
        <f t="shared" si="0"/>
        <v>0</v>
      </c>
    </row>
    <row r="62" spans="1:9" ht="14.4" x14ac:dyDescent="0.3">
      <c r="A62" s="68" t="s">
        <v>50</v>
      </c>
      <c r="B62" s="69"/>
      <c r="C62" s="69"/>
      <c r="D62" s="69"/>
      <c r="E62" s="69">
        <v>4.615384615384615</v>
      </c>
      <c r="F62" s="96">
        <v>4.615384615384615</v>
      </c>
      <c r="G62" s="48">
        <v>3.8923076923076922</v>
      </c>
      <c r="H62" s="48">
        <v>3.8923076923076918</v>
      </c>
      <c r="I62" s="106">
        <f t="shared" si="0"/>
        <v>-1.1102230246251565E-16</v>
      </c>
    </row>
    <row r="63" spans="1:9" ht="14.4" x14ac:dyDescent="0.3">
      <c r="A63" s="71" t="s">
        <v>51</v>
      </c>
      <c r="B63" s="72"/>
      <c r="C63" s="72"/>
      <c r="D63" s="72"/>
      <c r="E63" s="72">
        <v>13.587692307692302</v>
      </c>
      <c r="F63" s="97">
        <v>13.587692307692302</v>
      </c>
      <c r="G63" s="48">
        <v>8.598461538461537</v>
      </c>
      <c r="H63" s="48">
        <v>8.598461538461537</v>
      </c>
      <c r="I63" s="106">
        <f t="shared" si="0"/>
        <v>0</v>
      </c>
    </row>
    <row r="64" spans="1:9" ht="14.4" x14ac:dyDescent="0.3">
      <c r="A64" s="68" t="s">
        <v>52</v>
      </c>
      <c r="B64" s="69"/>
      <c r="C64" s="69"/>
      <c r="D64" s="69"/>
      <c r="E64" s="69">
        <v>11.169230769230767</v>
      </c>
      <c r="F64" s="96">
        <v>11.169230769230767</v>
      </c>
      <c r="G64" s="48">
        <v>11.632692307692308</v>
      </c>
      <c r="H64" s="48">
        <v>11.632692307692308</v>
      </c>
      <c r="I64" s="106">
        <f t="shared" si="0"/>
        <v>0</v>
      </c>
    </row>
    <row r="65" spans="1:9" ht="15" x14ac:dyDescent="0.3">
      <c r="A65" s="65" t="s">
        <v>53</v>
      </c>
      <c r="B65" s="66"/>
      <c r="C65" s="66"/>
      <c r="D65" s="66"/>
      <c r="E65" s="66">
        <v>110.76923076923073</v>
      </c>
      <c r="F65" s="95">
        <v>119.40193055236779</v>
      </c>
      <c r="G65" s="47">
        <v>111.47201356294269</v>
      </c>
      <c r="H65" s="47">
        <v>110.98898118722313</v>
      </c>
      <c r="I65" s="105">
        <f t="shared" si="0"/>
        <v>-4.3332165651319698E-3</v>
      </c>
    </row>
    <row r="66" spans="1:9" ht="14.4" x14ac:dyDescent="0.3">
      <c r="A66" s="68" t="s">
        <v>54</v>
      </c>
      <c r="B66" s="69"/>
      <c r="C66" s="69"/>
      <c r="D66" s="69"/>
      <c r="E66" s="69">
        <v>110.76923076923073</v>
      </c>
      <c r="F66" s="96">
        <v>119.40193055236779</v>
      </c>
      <c r="G66" s="48">
        <v>111.47201356294269</v>
      </c>
      <c r="H66" s="48">
        <v>110.98898118722313</v>
      </c>
      <c r="I66" s="106">
        <f t="shared" si="0"/>
        <v>-4.3332165651319698E-3</v>
      </c>
    </row>
    <row r="67" spans="1:9" ht="15" x14ac:dyDescent="0.3">
      <c r="A67" s="78" t="s">
        <v>55</v>
      </c>
      <c r="B67" s="79"/>
      <c r="C67" s="79"/>
      <c r="D67" s="79"/>
      <c r="E67" s="79">
        <v>6391.1570216836253</v>
      </c>
      <c r="F67" s="100">
        <v>6617.9026333379752</v>
      </c>
      <c r="G67" s="46">
        <v>6972.6270369755912</v>
      </c>
      <c r="H67" s="46">
        <v>6963.1169231382801</v>
      </c>
      <c r="I67" s="104">
        <f t="shared" si="0"/>
        <v>-1.3639212002706236E-3</v>
      </c>
    </row>
    <row r="68" spans="1:9" ht="15" x14ac:dyDescent="0.3">
      <c r="A68" s="74" t="s">
        <v>63</v>
      </c>
      <c r="B68" s="75"/>
      <c r="C68" s="75"/>
      <c r="D68" s="75"/>
      <c r="E68" s="75">
        <v>958.57102636609864</v>
      </c>
      <c r="F68" s="98">
        <v>1109.7583525532943</v>
      </c>
      <c r="G68" s="47">
        <v>1159.6300323836851</v>
      </c>
      <c r="H68" s="47">
        <v>1153.353339512922</v>
      </c>
      <c r="I68" s="105">
        <f t="shared" si="0"/>
        <v>-5.4126684334494524E-3</v>
      </c>
    </row>
    <row r="69" spans="1:9" ht="14.4" x14ac:dyDescent="0.3">
      <c r="A69" s="71" t="s">
        <v>56</v>
      </c>
      <c r="B69" s="72"/>
      <c r="C69" s="72"/>
      <c r="D69" s="72"/>
      <c r="E69" s="72">
        <v>531.92532948504925</v>
      </c>
      <c r="F69" s="97">
        <v>591.94701352506161</v>
      </c>
      <c r="G69" s="48">
        <v>461.3395637657697</v>
      </c>
      <c r="H69" s="48">
        <v>455.52148118279166</v>
      </c>
      <c r="I69" s="106">
        <f t="shared" si="0"/>
        <v>-1.261128036686654E-2</v>
      </c>
    </row>
    <row r="70" spans="1:9" ht="14.4" x14ac:dyDescent="0.3">
      <c r="A70" s="68" t="s">
        <v>57</v>
      </c>
      <c r="B70" s="69"/>
      <c r="C70" s="69"/>
      <c r="D70" s="69"/>
      <c r="E70" s="69">
        <v>46.45435784561878</v>
      </c>
      <c r="F70" s="96">
        <v>58.177033627189928</v>
      </c>
      <c r="G70" s="48">
        <v>204.74034254666714</v>
      </c>
      <c r="H70" s="48">
        <v>204.28173225888199</v>
      </c>
      <c r="I70" s="106">
        <f t="shared" si="0"/>
        <v>-2.2399605377265708E-3</v>
      </c>
    </row>
    <row r="71" spans="1:9" ht="14.4" x14ac:dyDescent="0.3">
      <c r="A71" s="71" t="s">
        <v>58</v>
      </c>
      <c r="B71" s="72"/>
      <c r="C71" s="72"/>
      <c r="D71" s="72"/>
      <c r="E71" s="72">
        <v>349.01056980466137</v>
      </c>
      <c r="F71" s="97">
        <v>421.9381515548892</v>
      </c>
      <c r="G71" s="48">
        <v>441.30252991740218</v>
      </c>
      <c r="H71" s="48">
        <v>441.30252991740218</v>
      </c>
      <c r="I71" s="106">
        <f t="shared" si="0"/>
        <v>0</v>
      </c>
    </row>
    <row r="72" spans="1:9" ht="14.4" x14ac:dyDescent="0.3">
      <c r="A72" s="68" t="s">
        <v>59</v>
      </c>
      <c r="B72" s="69"/>
      <c r="C72" s="69"/>
      <c r="D72" s="69"/>
      <c r="E72" s="69">
        <v>31.180769230769229</v>
      </c>
      <c r="F72" s="96">
        <v>37.696153846153827</v>
      </c>
      <c r="G72" s="49">
        <v>52.247596153846153</v>
      </c>
      <c r="H72" s="49">
        <v>52.247596153846153</v>
      </c>
      <c r="I72" s="107">
        <f t="shared" si="0"/>
        <v>0</v>
      </c>
    </row>
    <row r="73" spans="1:9" ht="15" x14ac:dyDescent="0.3">
      <c r="A73" s="81" t="s">
        <v>60</v>
      </c>
      <c r="B73" s="82"/>
      <c r="C73" s="82"/>
      <c r="D73" s="82"/>
      <c r="E73" s="82">
        <v>7349.7280480497238</v>
      </c>
      <c r="F73" s="100">
        <v>7727.6609858912698</v>
      </c>
      <c r="G73" s="46">
        <v>8132.2570693592761</v>
      </c>
      <c r="H73" s="46">
        <v>8116.4702626512026</v>
      </c>
      <c r="I73" s="104">
        <f t="shared" si="0"/>
        <v>-1.9412577066156844E-3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/>
      <c r="C75" s="86"/>
      <c r="D75" s="86"/>
      <c r="E75" s="86"/>
      <c r="F75" s="86">
        <v>60</v>
      </c>
      <c r="G75" s="108">
        <v>60</v>
      </c>
      <c r="H75" s="108">
        <v>60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/>
      <c r="C76" s="88"/>
      <c r="D76" s="88"/>
      <c r="E76" s="88"/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1"/>
      <c r="I77" s="92"/>
    </row>
    <row r="78" spans="1:9" ht="13.95" customHeight="1" x14ac:dyDescent="0.3">
      <c r="A78" s="89" t="s">
        <v>66</v>
      </c>
      <c r="B78" s="89"/>
      <c r="C78" s="89"/>
      <c r="D78" s="93"/>
      <c r="E78" s="93"/>
      <c r="F78" s="93"/>
      <c r="G78" s="93"/>
      <c r="H78" s="110"/>
      <c r="I78" s="93"/>
    </row>
    <row r="79" spans="1:9" ht="14.4" x14ac:dyDescent="0.3">
      <c r="A79" s="41" t="s">
        <v>143</v>
      </c>
      <c r="B79" s="89"/>
      <c r="C79" s="89"/>
      <c r="D79" s="93"/>
      <c r="E79" s="93"/>
      <c r="F79" s="93"/>
      <c r="G79" s="93"/>
      <c r="H79" s="93"/>
      <c r="I79" s="93"/>
    </row>
    <row r="80" spans="1:9" ht="40.200000000000003" customHeight="1" x14ac:dyDescent="0.3">
      <c r="A80" s="123" t="s">
        <v>138</v>
      </c>
      <c r="B80" s="123"/>
      <c r="C80" s="123"/>
      <c r="D80" s="123"/>
      <c r="E80" s="123"/>
      <c r="F80" s="123"/>
      <c r="G80" s="123"/>
      <c r="H80" s="123"/>
      <c r="I80" s="123"/>
    </row>
    <row r="81" spans="1:9" ht="12.75" customHeight="1" x14ac:dyDescent="0.3">
      <c r="A81" s="94" t="s">
        <v>139</v>
      </c>
      <c r="B81" s="94"/>
      <c r="C81" s="94"/>
      <c r="D81" s="93"/>
      <c r="E81" s="93"/>
      <c r="F81" s="93"/>
      <c r="G81" s="93"/>
      <c r="H81" s="93"/>
      <c r="I81" s="93"/>
    </row>
    <row r="82" spans="1:9" ht="14.7" hidden="1" customHeight="1" x14ac:dyDescent="0.3">
      <c r="A82" s="94"/>
      <c r="B82" s="94"/>
      <c r="C82" s="94"/>
      <c r="D82" s="93"/>
      <c r="E82" s="93"/>
      <c r="F82" s="93"/>
      <c r="G82" s="93"/>
      <c r="H82" s="93"/>
      <c r="I82" s="93"/>
    </row>
    <row r="83" spans="1:9" ht="24.75" hidden="1" customHeight="1" x14ac:dyDescent="0.3">
      <c r="A83" s="125"/>
      <c r="B83" s="125"/>
      <c r="C83" s="125"/>
      <c r="D83" s="125"/>
      <c r="E83" s="125"/>
      <c r="F83" s="125"/>
      <c r="G83" s="125"/>
    </row>
  </sheetData>
  <mergeCells count="5">
    <mergeCell ref="A2:I2"/>
    <mergeCell ref="A3:I3"/>
    <mergeCell ref="A4:I4"/>
    <mergeCell ref="A83:G83"/>
    <mergeCell ref="A80:I80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2023-F826-4C7F-B059-D27702020F22}">
  <dimension ref="A1:T82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116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3053.3117946537541</v>
      </c>
      <c r="C9" s="64">
        <v>5072.5005719628562</v>
      </c>
      <c r="D9" s="63">
        <v>4101.2252855718862</v>
      </c>
      <c r="E9" s="63">
        <v>3651.0851010380084</v>
      </c>
      <c r="F9" s="99">
        <v>3901.4827748238017</v>
      </c>
      <c r="G9" s="46">
        <v>3926.1327565889319</v>
      </c>
      <c r="H9" s="46">
        <v>3895.2803366219209</v>
      </c>
      <c r="I9" s="104">
        <f>IFERROR(H9/G9-1,"-")</f>
        <v>-7.8582212777277283E-3</v>
      </c>
    </row>
    <row r="10" spans="1:9" ht="15" x14ac:dyDescent="0.3">
      <c r="A10" s="65" t="s">
        <v>3</v>
      </c>
      <c r="B10" s="66">
        <v>520.0685611284681</v>
      </c>
      <c r="C10" s="66">
        <v>705.05512080222354</v>
      </c>
      <c r="D10" s="66">
        <v>767.34098550022247</v>
      </c>
      <c r="E10" s="66">
        <v>776.20873255115691</v>
      </c>
      <c r="F10" s="95">
        <v>780.38584351556085</v>
      </c>
      <c r="G10" s="47">
        <v>566.52925068963214</v>
      </c>
      <c r="H10" s="47">
        <v>545.02165038221972</v>
      </c>
      <c r="I10" s="105">
        <f t="shared" ref="I10:I73" si="0">IFERROR(H10/G10-1,"-")</f>
        <v>-3.7963794951860641E-2</v>
      </c>
    </row>
    <row r="11" spans="1:9" ht="14.4" x14ac:dyDescent="0.3">
      <c r="A11" s="68" t="s">
        <v>4</v>
      </c>
      <c r="B11" s="69">
        <v>482.23559456124855</v>
      </c>
      <c r="C11" s="69">
        <v>652.98792534277266</v>
      </c>
      <c r="D11" s="69">
        <v>699.25326877402381</v>
      </c>
      <c r="E11" s="69">
        <v>704.35848587697012</v>
      </c>
      <c r="F11" s="96">
        <v>696.74149256296346</v>
      </c>
      <c r="G11" s="48">
        <v>501.99707614102994</v>
      </c>
      <c r="H11" s="48">
        <v>481.83998483534663</v>
      </c>
      <c r="I11" s="106">
        <f t="shared" si="0"/>
        <v>-4.0153802210633582E-2</v>
      </c>
    </row>
    <row r="12" spans="1:9" ht="14.4" x14ac:dyDescent="0.3">
      <c r="A12" s="71" t="s">
        <v>5</v>
      </c>
      <c r="B12" s="72">
        <v>37.832966567219508</v>
      </c>
      <c r="C12" s="72">
        <v>52.067195459450858</v>
      </c>
      <c r="D12" s="72">
        <v>68.087716726198693</v>
      </c>
      <c r="E12" s="72">
        <v>71.850246674186792</v>
      </c>
      <c r="F12" s="97">
        <v>83.644350952597406</v>
      </c>
      <c r="G12" s="48">
        <v>64.532174548602143</v>
      </c>
      <c r="H12" s="48">
        <v>63.181665546873113</v>
      </c>
      <c r="I12" s="106">
        <f t="shared" si="0"/>
        <v>-2.0927684696443904E-2</v>
      </c>
    </row>
    <row r="13" spans="1:9" ht="15" x14ac:dyDescent="0.3">
      <c r="A13" s="74" t="s">
        <v>6</v>
      </c>
      <c r="B13" s="75">
        <v>1319.79171565652</v>
      </c>
      <c r="C13" s="75">
        <v>2807.3480471839698</v>
      </c>
      <c r="D13" s="75">
        <v>1890.6994136669784</v>
      </c>
      <c r="E13" s="75">
        <v>1608.2237234931217</v>
      </c>
      <c r="F13" s="98">
        <v>1893.9351850941343</v>
      </c>
      <c r="G13" s="47">
        <v>2017.6667369935114</v>
      </c>
      <c r="H13" s="47">
        <v>2014.409876145616</v>
      </c>
      <c r="I13" s="105">
        <f t="shared" si="0"/>
        <v>-1.614171849186774E-3</v>
      </c>
    </row>
    <row r="14" spans="1:9" ht="14.4" x14ac:dyDescent="0.3">
      <c r="A14" s="71" t="s">
        <v>7</v>
      </c>
      <c r="B14" s="72">
        <v>58.003633969465646</v>
      </c>
      <c r="C14" s="72">
        <v>86.887052792020782</v>
      </c>
      <c r="D14" s="72">
        <v>107.78910540767698</v>
      </c>
      <c r="E14" s="72">
        <v>102.79709318849385</v>
      </c>
      <c r="F14" s="97">
        <v>112.80804710419623</v>
      </c>
      <c r="G14" s="48">
        <v>125.770837708532</v>
      </c>
      <c r="H14" s="48">
        <v>125.27458861682386</v>
      </c>
      <c r="I14" s="106">
        <f t="shared" si="0"/>
        <v>-3.9456610192751818E-3</v>
      </c>
    </row>
    <row r="15" spans="1:9" ht="14.4" x14ac:dyDescent="0.3">
      <c r="A15" s="68" t="s">
        <v>8</v>
      </c>
      <c r="B15" s="69">
        <v>1235.2071845992045</v>
      </c>
      <c r="C15" s="69">
        <v>2683.7921235776939</v>
      </c>
      <c r="D15" s="69">
        <v>1743.0443104842343</v>
      </c>
      <c r="E15" s="69">
        <v>1457.8821662866869</v>
      </c>
      <c r="F15" s="96">
        <v>1726.9718203712894</v>
      </c>
      <c r="G15" s="48">
        <v>1805.1631628602122</v>
      </c>
      <c r="H15" s="48">
        <v>1801.8389397162855</v>
      </c>
      <c r="I15" s="106">
        <f t="shared" si="0"/>
        <v>-1.8415084089460354E-3</v>
      </c>
    </row>
    <row r="16" spans="1:9" ht="14.4" x14ac:dyDescent="0.3">
      <c r="A16" s="71" t="s">
        <v>9</v>
      </c>
      <c r="B16" s="72">
        <v>26.580897087849706</v>
      </c>
      <c r="C16" s="72">
        <v>36.668870814255044</v>
      </c>
      <c r="D16" s="72">
        <v>39.86599777506715</v>
      </c>
      <c r="E16" s="72">
        <v>47.54446401794096</v>
      </c>
      <c r="F16" s="97">
        <v>54.155317618648816</v>
      </c>
      <c r="G16" s="48">
        <v>86.732736424767168</v>
      </c>
      <c r="H16" s="48">
        <v>87.296347812506525</v>
      </c>
      <c r="I16" s="106">
        <f t="shared" si="0"/>
        <v>6.4982544189440272E-3</v>
      </c>
    </row>
    <row r="17" spans="1:9" ht="15" x14ac:dyDescent="0.3">
      <c r="A17" s="74" t="s">
        <v>10</v>
      </c>
      <c r="B17" s="75">
        <v>962.90247697626603</v>
      </c>
      <c r="C17" s="75">
        <v>1251.1629001212004</v>
      </c>
      <c r="D17" s="75">
        <v>1126.7138545831499</v>
      </c>
      <c r="E17" s="75">
        <v>930.53492405903432</v>
      </c>
      <c r="F17" s="98">
        <v>885.00181347292573</v>
      </c>
      <c r="G17" s="47">
        <v>950.32954398317736</v>
      </c>
      <c r="H17" s="47">
        <v>943.33341116111455</v>
      </c>
      <c r="I17" s="105">
        <f t="shared" si="0"/>
        <v>-7.3617966171392046E-3</v>
      </c>
    </row>
    <row r="18" spans="1:9" ht="14.4" x14ac:dyDescent="0.3">
      <c r="A18" s="71" t="s">
        <v>11</v>
      </c>
      <c r="B18" s="72">
        <v>374.28022254057868</v>
      </c>
      <c r="C18" s="72">
        <v>423.57403608878724</v>
      </c>
      <c r="D18" s="72">
        <v>361.83998746758942</v>
      </c>
      <c r="E18" s="72">
        <v>407.50979882782025</v>
      </c>
      <c r="F18" s="97">
        <v>394.708378599789</v>
      </c>
      <c r="G18" s="48">
        <v>517.32066817371367</v>
      </c>
      <c r="H18" s="48">
        <v>510.19752323527712</v>
      </c>
      <c r="I18" s="106">
        <f t="shared" si="0"/>
        <v>-1.3769302826394436E-2</v>
      </c>
    </row>
    <row r="19" spans="1:9" ht="14.4" x14ac:dyDescent="0.3">
      <c r="A19" s="68" t="s">
        <v>12</v>
      </c>
      <c r="B19" s="69">
        <v>196.18318839699231</v>
      </c>
      <c r="C19" s="69">
        <v>342.75850421307194</v>
      </c>
      <c r="D19" s="69">
        <v>281.55856831112811</v>
      </c>
      <c r="E19" s="69">
        <v>163.18675902090854</v>
      </c>
      <c r="F19" s="96">
        <v>155.8368646451035</v>
      </c>
      <c r="G19" s="48">
        <v>113.77840463795046</v>
      </c>
      <c r="H19" s="48">
        <v>114.57814840814443</v>
      </c>
      <c r="I19" s="106">
        <f t="shared" si="0"/>
        <v>7.0289592540764279E-3</v>
      </c>
    </row>
    <row r="20" spans="1:9" ht="14.4" x14ac:dyDescent="0.3">
      <c r="A20" s="71" t="s">
        <v>13</v>
      </c>
      <c r="B20" s="72">
        <v>299.2751959082085</v>
      </c>
      <c r="C20" s="72">
        <v>371.47403363271258</v>
      </c>
      <c r="D20" s="72">
        <v>380.26922268721904</v>
      </c>
      <c r="E20" s="72">
        <v>286.79266629908324</v>
      </c>
      <c r="F20" s="97">
        <v>266.87923126698047</v>
      </c>
      <c r="G20" s="48">
        <v>228.03619595118599</v>
      </c>
      <c r="H20" s="48">
        <v>227.55579028515274</v>
      </c>
      <c r="I20" s="106">
        <f t="shared" si="0"/>
        <v>-2.1067079462072646E-3</v>
      </c>
    </row>
    <row r="21" spans="1:9" ht="14.4" x14ac:dyDescent="0.3">
      <c r="A21" s="68" t="s">
        <v>14</v>
      </c>
      <c r="B21" s="69">
        <v>93.163870130486586</v>
      </c>
      <c r="C21" s="69">
        <v>113.35632618662889</v>
      </c>
      <c r="D21" s="69">
        <v>103.04607611721336</v>
      </c>
      <c r="E21" s="69">
        <v>73.045699911222201</v>
      </c>
      <c r="F21" s="96">
        <v>67.577338961052703</v>
      </c>
      <c r="G21" s="48">
        <v>91.194275220327313</v>
      </c>
      <c r="H21" s="48">
        <v>91.001949232540241</v>
      </c>
      <c r="I21" s="106">
        <f t="shared" si="0"/>
        <v>-2.1089699690294283E-3</v>
      </c>
    </row>
    <row r="22" spans="1:9" ht="15" x14ac:dyDescent="0.3">
      <c r="A22" s="74" t="s">
        <v>129</v>
      </c>
      <c r="B22" s="75">
        <v>99.904422392500024</v>
      </c>
      <c r="C22" s="75">
        <v>149.34682490546297</v>
      </c>
      <c r="D22" s="75">
        <v>150.1355542215357</v>
      </c>
      <c r="E22" s="75">
        <v>144.38452510237619</v>
      </c>
      <c r="F22" s="112">
        <v>153.03238593814768</v>
      </c>
      <c r="G22" s="47">
        <v>154.57148104954075</v>
      </c>
      <c r="H22" s="47">
        <v>154.6890505396326</v>
      </c>
      <c r="I22" s="105">
        <f t="shared" si="0"/>
        <v>7.6061566657426027E-4</v>
      </c>
    </row>
    <row r="23" spans="1:9" ht="14.4" x14ac:dyDescent="0.3">
      <c r="A23" s="71" t="s">
        <v>15</v>
      </c>
      <c r="B23" s="72">
        <v>18.27339855</v>
      </c>
      <c r="C23" s="72">
        <v>27.316849327777778</v>
      </c>
      <c r="D23" s="72">
        <v>27.461114864733108</v>
      </c>
      <c r="E23" s="72">
        <v>25.673314566518638</v>
      </c>
      <c r="F23" s="113">
        <v>27.211008799379215</v>
      </c>
      <c r="G23" s="48">
        <v>30.694524817727942</v>
      </c>
      <c r="H23" s="48">
        <v>30.717871554182352</v>
      </c>
      <c r="I23" s="106">
        <f>IFERROR(H23/G23-1,"-")</f>
        <v>7.6061566657403823E-4</v>
      </c>
    </row>
    <row r="24" spans="1:9" ht="15" x14ac:dyDescent="0.3">
      <c r="A24" s="68" t="s">
        <v>16</v>
      </c>
      <c r="B24" s="69">
        <v>32.088815687500009</v>
      </c>
      <c r="C24" s="69">
        <v>47.969475456018522</v>
      </c>
      <c r="D24" s="69">
        <v>48.222811485041852</v>
      </c>
      <c r="E24" s="69">
        <v>45.083362952876939</v>
      </c>
      <c r="F24" s="112">
        <v>47.783615272497855</v>
      </c>
      <c r="G24" s="48">
        <v>49.405971885474592</v>
      </c>
      <c r="H24" s="48">
        <v>49.443550841713005</v>
      </c>
      <c r="I24" s="106">
        <f t="shared" si="0"/>
        <v>7.6061566657403823E-4</v>
      </c>
    </row>
    <row r="25" spans="1:9" ht="14.4" x14ac:dyDescent="0.3">
      <c r="A25" s="71" t="s">
        <v>17</v>
      </c>
      <c r="B25" s="72">
        <v>15.749844000000001</v>
      </c>
      <c r="C25" s="72">
        <v>23.544395111111115</v>
      </c>
      <c r="D25" s="72">
        <v>23.668737591542737</v>
      </c>
      <c r="E25" s="72">
        <v>26.151074582937692</v>
      </c>
      <c r="F25" s="113">
        <v>27.717384085557669</v>
      </c>
      <c r="G25" s="48">
        <v>24.532620522442564</v>
      </c>
      <c r="H25" s="48">
        <v>24.551280417954054</v>
      </c>
      <c r="I25" s="106">
        <f t="shared" si="0"/>
        <v>7.6061566657426027E-4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32.539535655000002</v>
      </c>
      <c r="C27" s="72">
        <v>48.643255399444435</v>
      </c>
      <c r="D27" s="72">
        <v>48.90014978998164</v>
      </c>
      <c r="E27" s="72">
        <v>45.716604518499054</v>
      </c>
      <c r="F27" s="113">
        <v>48.454784621108082</v>
      </c>
      <c r="G27" s="48">
        <v>49.938363823895664</v>
      </c>
      <c r="H27" s="48">
        <v>49.976347725783199</v>
      </c>
      <c r="I27" s="106">
        <f t="shared" si="0"/>
        <v>7.6061566657426027E-4</v>
      </c>
    </row>
    <row r="28" spans="1:9" ht="14.4" x14ac:dyDescent="0.3">
      <c r="A28" s="68" t="s">
        <v>19</v>
      </c>
      <c r="B28" s="69">
        <v>1.2528285000000001</v>
      </c>
      <c r="C28" s="69">
        <v>1.8728496111111108</v>
      </c>
      <c r="D28" s="69">
        <v>1.8827404902363545</v>
      </c>
      <c r="E28" s="69">
        <v>1.7601684815438829</v>
      </c>
      <c r="F28" s="96">
        <v>1.8655931596048434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150.64461849999998</v>
      </c>
      <c r="C31" s="66">
        <v>159.58767895000003</v>
      </c>
      <c r="D31" s="66">
        <v>166.33547760000002</v>
      </c>
      <c r="E31" s="66">
        <v>191.73319583231904</v>
      </c>
      <c r="F31" s="95">
        <v>189.12754680303303</v>
      </c>
      <c r="G31" s="47">
        <v>237.03574387307086</v>
      </c>
      <c r="H31" s="47">
        <v>237.82634839333784</v>
      </c>
      <c r="I31" s="105">
        <f t="shared" si="0"/>
        <v>3.3353810161658171E-3</v>
      </c>
    </row>
    <row r="32" spans="1:9" ht="14.4" x14ac:dyDescent="0.3">
      <c r="A32" s="68" t="s">
        <v>21</v>
      </c>
      <c r="B32" s="69">
        <v>128.06961849999999</v>
      </c>
      <c r="C32" s="69">
        <v>137.01267895000004</v>
      </c>
      <c r="D32" s="69">
        <v>143.76047760000003</v>
      </c>
      <c r="E32" s="69">
        <v>169.15819583231905</v>
      </c>
      <c r="F32" s="96">
        <v>166.55254680303304</v>
      </c>
      <c r="G32" s="48">
        <v>224.24816217372444</v>
      </c>
      <c r="H32" s="48">
        <v>225.03876669399142</v>
      </c>
      <c r="I32" s="106">
        <f t="shared" si="0"/>
        <v>3.5255785938370643E-3</v>
      </c>
    </row>
    <row r="33" spans="1:20" ht="14.4" x14ac:dyDescent="0.3">
      <c r="A33" s="71" t="s">
        <v>22</v>
      </c>
      <c r="B33" s="72">
        <v>22.574999999999992</v>
      </c>
      <c r="C33" s="72">
        <v>22.574999999999992</v>
      </c>
      <c r="D33" s="72">
        <v>22.574999999999992</v>
      </c>
      <c r="E33" s="72">
        <v>22.574999999999992</v>
      </c>
      <c r="F33" s="97">
        <v>22.574999999999992</v>
      </c>
      <c r="G33" s="48">
        <v>12.787581699346406</v>
      </c>
      <c r="H33" s="48">
        <v>12.787581699346406</v>
      </c>
      <c r="I33" s="106">
        <f t="shared" si="0"/>
        <v>0</v>
      </c>
    </row>
    <row r="34" spans="1:20" ht="15" x14ac:dyDescent="0.3">
      <c r="A34" s="74" t="s">
        <v>23</v>
      </c>
      <c r="B34" s="75">
        <v>105.75785166666672</v>
      </c>
      <c r="C34" s="75">
        <v>105.75785166666672</v>
      </c>
      <c r="D34" s="75">
        <v>105.75785166666672</v>
      </c>
      <c r="E34" s="75">
        <v>110.55705166666667</v>
      </c>
      <c r="F34" s="98">
        <v>110.55705166666667</v>
      </c>
      <c r="G34" s="47">
        <v>202.47533137254905</v>
      </c>
      <c r="H34" s="47">
        <v>202.47533137254905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103.45985166666672</v>
      </c>
      <c r="C35" s="72">
        <v>103.45985166666672</v>
      </c>
      <c r="D35" s="72">
        <v>103.45985166666672</v>
      </c>
      <c r="E35" s="72">
        <v>108.25905166666666</v>
      </c>
      <c r="F35" s="97">
        <v>108.25905166666666</v>
      </c>
      <c r="G35" s="48">
        <v>197.6920960784314</v>
      </c>
      <c r="H35" s="48">
        <v>197.6920960784314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2.2980000000000005</v>
      </c>
      <c r="C36" s="69">
        <v>2.2980000000000005</v>
      </c>
      <c r="D36" s="69">
        <v>2.2980000000000005</v>
      </c>
      <c r="E36" s="69">
        <v>2.2980000000000005</v>
      </c>
      <c r="F36" s="96">
        <v>2.2980000000000005</v>
      </c>
      <c r="G36" s="48">
        <v>4.783235294117647</v>
      </c>
      <c r="H36" s="48">
        <v>4.783235294117647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165.40000259999999</v>
      </c>
      <c r="C37" s="66">
        <v>189.26172365000002</v>
      </c>
      <c r="D37" s="66">
        <v>200.53455514999999</v>
      </c>
      <c r="E37" s="66">
        <v>232.21215337047926</v>
      </c>
      <c r="F37" s="95">
        <v>239.82220190882609</v>
      </c>
      <c r="G37" s="47">
        <v>281.1717971186431</v>
      </c>
      <c r="H37" s="47">
        <v>281.30099834033979</v>
      </c>
      <c r="I37" s="105">
        <f t="shared" si="0"/>
        <v>4.5950989046805724E-4</v>
      </c>
    </row>
    <row r="38" spans="1:20" ht="14.4" x14ac:dyDescent="0.3">
      <c r="A38" s="68" t="s">
        <v>27</v>
      </c>
      <c r="B38" s="69">
        <v>26.733819999999998</v>
      </c>
      <c r="C38" s="69">
        <v>27.74260000000001</v>
      </c>
      <c r="D38" s="69">
        <v>28.728160000000003</v>
      </c>
      <c r="E38" s="69">
        <v>53.26068312047925</v>
      </c>
      <c r="F38" s="96">
        <v>53.504180658826151</v>
      </c>
      <c r="G38" s="48">
        <v>56.149427124525403</v>
      </c>
      <c r="H38" s="48">
        <v>56.263590486222121</v>
      </c>
      <c r="I38" s="106">
        <f t="shared" si="0"/>
        <v>2.0332061704482207E-3</v>
      </c>
    </row>
    <row r="39" spans="1:20" ht="14.4" x14ac:dyDescent="0.3">
      <c r="A39" s="71" t="s">
        <v>28</v>
      </c>
      <c r="B39" s="72">
        <v>62.014470000000017</v>
      </c>
      <c r="C39" s="72">
        <v>72.886280000000014</v>
      </c>
      <c r="D39" s="72">
        <v>77.791630000000012</v>
      </c>
      <c r="E39" s="72">
        <v>81.162300000000016</v>
      </c>
      <c r="F39" s="97">
        <v>84.614459999999994</v>
      </c>
      <c r="G39" s="48">
        <v>99.343920000000011</v>
      </c>
      <c r="H39" s="48">
        <v>99.343920000000011</v>
      </c>
      <c r="I39" s="106">
        <f t="shared" si="0"/>
        <v>0</v>
      </c>
    </row>
    <row r="40" spans="1:20" ht="14.4" x14ac:dyDescent="0.3">
      <c r="A40" s="68" t="s">
        <v>29</v>
      </c>
      <c r="B40" s="69">
        <v>62.014470000000017</v>
      </c>
      <c r="C40" s="69">
        <v>72.886280000000014</v>
      </c>
      <c r="D40" s="69">
        <v>77.791630000000012</v>
      </c>
      <c r="E40" s="69">
        <v>81.162300000000016</v>
      </c>
      <c r="F40" s="96">
        <v>84.614459999999994</v>
      </c>
      <c r="G40" s="48">
        <v>99.343920000000011</v>
      </c>
      <c r="H40" s="48">
        <v>99.343920000000011</v>
      </c>
      <c r="I40" s="106">
        <f t="shared" si="0"/>
        <v>0</v>
      </c>
    </row>
    <row r="41" spans="1:20" ht="14.4" x14ac:dyDescent="0.3">
      <c r="A41" s="71" t="s">
        <v>30</v>
      </c>
      <c r="B41" s="72">
        <v>1.8900000000000003</v>
      </c>
      <c r="C41" s="72">
        <v>1.8900000000000003</v>
      </c>
      <c r="D41" s="72">
        <v>1.8900000000000003</v>
      </c>
      <c r="E41" s="72">
        <v>1.8900000000000003</v>
      </c>
      <c r="F41" s="97">
        <v>1.8900000000000003</v>
      </c>
      <c r="G41" s="48">
        <v>2.0474999999999999</v>
      </c>
      <c r="H41" s="48">
        <v>2.0474999999999999</v>
      </c>
      <c r="I41" s="106">
        <f t="shared" si="0"/>
        <v>0</v>
      </c>
    </row>
    <row r="42" spans="1:20" ht="14.4" x14ac:dyDescent="0.3">
      <c r="A42" s="68" t="s">
        <v>31</v>
      </c>
      <c r="B42" s="69">
        <v>7.4222426000000015</v>
      </c>
      <c r="C42" s="69">
        <v>8.5315636500000007</v>
      </c>
      <c r="D42" s="69">
        <v>9.0081351499999993</v>
      </c>
      <c r="E42" s="69">
        <v>9.411870249999998</v>
      </c>
      <c r="F42" s="96">
        <v>9.8741012499999989</v>
      </c>
      <c r="G42" s="48">
        <v>11.8987947</v>
      </c>
      <c r="H42" s="48">
        <v>11.913832559999999</v>
      </c>
      <c r="I42" s="106">
        <f t="shared" si="0"/>
        <v>1.2638137205611688E-3</v>
      </c>
    </row>
    <row r="43" spans="1:20" ht="14.4" x14ac:dyDescent="0.3">
      <c r="A43" s="71" t="s">
        <v>32</v>
      </c>
      <c r="B43" s="72">
        <v>5.3250000000000011</v>
      </c>
      <c r="C43" s="72">
        <v>5.3250000000000011</v>
      </c>
      <c r="D43" s="72">
        <v>5.3250000000000011</v>
      </c>
      <c r="E43" s="72">
        <v>5.3250000000000011</v>
      </c>
      <c r="F43" s="97">
        <v>5.3250000000000011</v>
      </c>
      <c r="G43" s="48">
        <v>12.388235294117647</v>
      </c>
      <c r="H43" s="48">
        <v>12.388235294117647</v>
      </c>
      <c r="I43" s="106">
        <f t="shared" si="0"/>
        <v>0</v>
      </c>
    </row>
    <row r="44" spans="1:20" ht="15" x14ac:dyDescent="0.3">
      <c r="A44" s="74" t="s">
        <v>33</v>
      </c>
      <c r="B44" s="75">
        <v>299.65074908828637</v>
      </c>
      <c r="C44" s="75">
        <v>455.53461389758274</v>
      </c>
      <c r="D44" s="75">
        <v>363.43889570267595</v>
      </c>
      <c r="E44" s="75">
        <v>327.14205734897325</v>
      </c>
      <c r="F44" s="98">
        <v>345.62265115924293</v>
      </c>
      <c r="G44" s="47">
        <v>516.82440292592901</v>
      </c>
      <c r="H44" s="47">
        <v>513.58078451376559</v>
      </c>
      <c r="I44" s="105">
        <f t="shared" si="0"/>
        <v>-6.276055065898789E-3</v>
      </c>
    </row>
    <row r="45" spans="1:20" ht="14.4" x14ac:dyDescent="0.3">
      <c r="A45" s="71" t="s">
        <v>34</v>
      </c>
      <c r="B45" s="72">
        <v>267.73598181554667</v>
      </c>
      <c r="C45" s="72">
        <v>413.49238705333045</v>
      </c>
      <c r="D45" s="72">
        <v>327.69161883507064</v>
      </c>
      <c r="E45" s="72">
        <v>293.6129691772145</v>
      </c>
      <c r="F45" s="97">
        <v>310.89291616685256</v>
      </c>
      <c r="G45" s="48">
        <v>489.86220023489858</v>
      </c>
      <c r="H45" s="48">
        <v>486.61858182273517</v>
      </c>
      <c r="I45" s="106">
        <f t="shared" si="0"/>
        <v>-6.6214915349828152E-3</v>
      </c>
    </row>
    <row r="46" spans="1:20" ht="14.4" x14ac:dyDescent="0.3">
      <c r="A46" s="68" t="s">
        <v>35</v>
      </c>
      <c r="B46" s="69">
        <v>18.602855409700386</v>
      </c>
      <c r="C46" s="69">
        <v>28.730314981213009</v>
      </c>
      <c r="D46" s="69">
        <v>22.768698337899309</v>
      </c>
      <c r="E46" s="69">
        <v>20.400842557574247</v>
      </c>
      <c r="F46" s="96">
        <v>21.601489378205894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13.311911863039311</v>
      </c>
      <c r="C47" s="72">
        <v>13.311911863039311</v>
      </c>
      <c r="D47" s="72">
        <v>12.978578529705972</v>
      </c>
      <c r="E47" s="72">
        <v>13.128245614184491</v>
      </c>
      <c r="F47" s="97">
        <v>13.128245614184491</v>
      </c>
      <c r="G47" s="48">
        <v>26.962202691030424</v>
      </c>
      <c r="H47" s="48">
        <v>26.96220269103042</v>
      </c>
      <c r="I47" s="106">
        <f t="shared" si="0"/>
        <v>-1.1102230246251565E-16</v>
      </c>
    </row>
    <row r="48" spans="1:20" ht="15" x14ac:dyDescent="0.3">
      <c r="A48" s="74" t="s">
        <v>37</v>
      </c>
      <c r="B48" s="75">
        <v>179.8</v>
      </c>
      <c r="C48" s="75">
        <v>179.8</v>
      </c>
      <c r="D48" s="75">
        <v>179.8</v>
      </c>
      <c r="E48" s="75">
        <v>179.8</v>
      </c>
      <c r="F48" s="98">
        <v>179.8</v>
      </c>
      <c r="G48" s="47">
        <v>210.8</v>
      </c>
      <c r="H48" s="47">
        <v>210.8</v>
      </c>
      <c r="I48" s="105">
        <f t="shared" si="0"/>
        <v>0</v>
      </c>
    </row>
    <row r="49" spans="1:9" ht="14.4" x14ac:dyDescent="0.3">
      <c r="A49" s="71" t="s">
        <v>62</v>
      </c>
      <c r="B49" s="72">
        <v>69.600000000000009</v>
      </c>
      <c r="C49" s="72">
        <v>69.600000000000009</v>
      </c>
      <c r="D49" s="72">
        <v>69.600000000000009</v>
      </c>
      <c r="E49" s="72">
        <v>69.600000000000009</v>
      </c>
      <c r="F49" s="97">
        <v>69.600000000000009</v>
      </c>
      <c r="G49" s="48">
        <v>81.599999999999994</v>
      </c>
      <c r="H49" s="48">
        <v>81.599999999999994</v>
      </c>
      <c r="I49" s="106">
        <f t="shared" si="0"/>
        <v>0</v>
      </c>
    </row>
    <row r="50" spans="1:9" ht="14.4" x14ac:dyDescent="0.3">
      <c r="A50" s="68" t="s">
        <v>38</v>
      </c>
      <c r="B50" s="69">
        <v>34.799999999999997</v>
      </c>
      <c r="C50" s="69">
        <v>34.799999999999997</v>
      </c>
      <c r="D50" s="69">
        <v>34.799999999999997</v>
      </c>
      <c r="E50" s="69">
        <v>34.799999999999997</v>
      </c>
      <c r="F50" s="96">
        <v>34.799999999999997</v>
      </c>
      <c r="G50" s="48">
        <v>40.799999999999997</v>
      </c>
      <c r="H50" s="48">
        <v>40.799999999999997</v>
      </c>
      <c r="I50" s="106">
        <f t="shared" si="0"/>
        <v>0</v>
      </c>
    </row>
    <row r="51" spans="1:9" ht="14.4" x14ac:dyDescent="0.3">
      <c r="A51" s="71" t="s">
        <v>39</v>
      </c>
      <c r="B51" s="72">
        <v>75.400000000000006</v>
      </c>
      <c r="C51" s="72">
        <v>75.400000000000006</v>
      </c>
      <c r="D51" s="72">
        <v>75.400000000000006</v>
      </c>
      <c r="E51" s="72">
        <v>75.400000000000006</v>
      </c>
      <c r="F51" s="97">
        <v>75.400000000000006</v>
      </c>
      <c r="G51" s="48">
        <v>88.4</v>
      </c>
      <c r="H51" s="48">
        <v>88.4</v>
      </c>
      <c r="I51" s="106">
        <f t="shared" si="0"/>
        <v>0</v>
      </c>
    </row>
    <row r="52" spans="1:9" ht="15" x14ac:dyDescent="0.3">
      <c r="A52" s="74" t="s">
        <v>40</v>
      </c>
      <c r="B52" s="75">
        <v>125.43773348303878</v>
      </c>
      <c r="C52" s="75">
        <v>138.40776759922863</v>
      </c>
      <c r="D52" s="75">
        <v>126.51185543128986</v>
      </c>
      <c r="E52" s="75">
        <v>115.5057168730885</v>
      </c>
      <c r="F52" s="98">
        <v>118.41641705839535</v>
      </c>
      <c r="G52" s="47">
        <v>235.72260046114394</v>
      </c>
      <c r="H52" s="47">
        <v>235.44578625126809</v>
      </c>
      <c r="I52" s="105">
        <f t="shared" si="0"/>
        <v>-1.1743218907915853E-3</v>
      </c>
    </row>
    <row r="53" spans="1:9" ht="14.4" x14ac:dyDescent="0.3">
      <c r="A53" s="71" t="s">
        <v>41</v>
      </c>
      <c r="B53" s="72">
        <v>66.25983923303879</v>
      </c>
      <c r="C53" s="72">
        <v>74.410618349228642</v>
      </c>
      <c r="D53" s="72">
        <v>62.437827075361838</v>
      </c>
      <c r="E53" s="72">
        <v>52.384407311997414</v>
      </c>
      <c r="F53" s="97">
        <v>54.475670226921345</v>
      </c>
      <c r="G53" s="48">
        <v>54.122500000000002</v>
      </c>
      <c r="H53" s="48">
        <v>53.794000000000004</v>
      </c>
      <c r="I53" s="106">
        <f t="shared" si="0"/>
        <v>-6.0695644140607019E-3</v>
      </c>
    </row>
    <row r="54" spans="1:9" ht="14.4" x14ac:dyDescent="0.3">
      <c r="A54" s="68" t="s">
        <v>42</v>
      </c>
      <c r="B54" s="69">
        <v>9.7378942500000019</v>
      </c>
      <c r="C54" s="69">
        <v>14.557149250000002</v>
      </c>
      <c r="D54" s="69">
        <v>14.634028355928024</v>
      </c>
      <c r="E54" s="69">
        <v>13.681309561091089</v>
      </c>
      <c r="F54" s="96">
        <v>14.500746831474009</v>
      </c>
      <c r="G54" s="48">
        <v>67.952571049379259</v>
      </c>
      <c r="H54" s="48">
        <v>68.004256839503412</v>
      </c>
      <c r="I54" s="106">
        <f t="shared" si="0"/>
        <v>7.6061566657426027E-4</v>
      </c>
    </row>
    <row r="55" spans="1:9" ht="14.4" x14ac:dyDescent="0.3">
      <c r="A55" s="71" t="s">
        <v>43</v>
      </c>
      <c r="B55" s="72">
        <v>49.44</v>
      </c>
      <c r="C55" s="72">
        <v>49.44</v>
      </c>
      <c r="D55" s="72">
        <v>49.44</v>
      </c>
      <c r="E55" s="72">
        <v>49.44</v>
      </c>
      <c r="F55" s="97">
        <v>49.44</v>
      </c>
      <c r="G55" s="48">
        <v>113.64752941176469</v>
      </c>
      <c r="H55" s="48">
        <v>113.64752941176468</v>
      </c>
      <c r="I55" s="106">
        <f t="shared" si="0"/>
        <v>-1.1102230246251565E-16</v>
      </c>
    </row>
    <row r="56" spans="1:9" s="4" customFormat="1" ht="15" x14ac:dyDescent="0.3">
      <c r="A56" s="74" t="s">
        <v>44</v>
      </c>
      <c r="B56" s="75">
        <v>238.53542123893968</v>
      </c>
      <c r="C56" s="75">
        <v>267.87822605722306</v>
      </c>
      <c r="D56" s="75">
        <v>224.77617747130259</v>
      </c>
      <c r="E56" s="75">
        <v>188.58386632319068</v>
      </c>
      <c r="F56" s="98">
        <v>202.20250307891078</v>
      </c>
      <c r="G56" s="47">
        <v>316.2829669632282</v>
      </c>
      <c r="H56" s="47">
        <v>313.47025630578111</v>
      </c>
      <c r="I56" s="105">
        <f t="shared" si="0"/>
        <v>-8.8930197046435122E-3</v>
      </c>
    </row>
    <row r="57" spans="1:9" ht="14.4" x14ac:dyDescent="0.3">
      <c r="A57" s="71" t="s">
        <v>45</v>
      </c>
      <c r="B57" s="72">
        <v>238.53542123893968</v>
      </c>
      <c r="C57" s="72">
        <v>267.87822605722306</v>
      </c>
      <c r="D57" s="72">
        <v>224.77617747130259</v>
      </c>
      <c r="E57" s="72">
        <v>188.58386632319068</v>
      </c>
      <c r="F57" s="97">
        <v>202.20250307891078</v>
      </c>
      <c r="G57" s="48">
        <v>316.2829669632282</v>
      </c>
      <c r="H57" s="48">
        <v>313.47025630578111</v>
      </c>
      <c r="I57" s="106">
        <f t="shared" si="0"/>
        <v>-8.8930197046435122E-3</v>
      </c>
    </row>
    <row r="58" spans="1:9" ht="15" x14ac:dyDescent="0.3">
      <c r="A58" s="62" t="s">
        <v>46</v>
      </c>
      <c r="B58" s="63">
        <v>4167.8935527306858</v>
      </c>
      <c r="C58" s="63">
        <v>6409.1407548335574</v>
      </c>
      <c r="D58" s="63">
        <v>5302.0446209938218</v>
      </c>
      <c r="E58" s="63">
        <v>4804.8859466204067</v>
      </c>
      <c r="F58" s="99">
        <v>5097.9035996958437</v>
      </c>
      <c r="G58" s="46">
        <v>5689.4098554304255</v>
      </c>
      <c r="H58" s="46">
        <v>5652.3534934056242</v>
      </c>
      <c r="I58" s="104">
        <f t="shared" si="0"/>
        <v>-6.5132171818192974E-3</v>
      </c>
    </row>
    <row r="59" spans="1:9" ht="15" x14ac:dyDescent="0.3">
      <c r="A59" s="65" t="s">
        <v>47</v>
      </c>
      <c r="B59" s="66">
        <v>199.18224634547985</v>
      </c>
      <c r="C59" s="66">
        <v>199.18224634547985</v>
      </c>
      <c r="D59" s="66">
        <v>196.21928338251698</v>
      </c>
      <c r="E59" s="66">
        <v>198.22988995821993</v>
      </c>
      <c r="F59" s="95">
        <v>198.22988995821993</v>
      </c>
      <c r="G59" s="47">
        <v>408.43054210313818</v>
      </c>
      <c r="H59" s="47">
        <v>408.43054210313818</v>
      </c>
      <c r="I59" s="105">
        <f t="shared" si="0"/>
        <v>0</v>
      </c>
    </row>
    <row r="60" spans="1:9" ht="14.4" x14ac:dyDescent="0.3">
      <c r="A60" s="68" t="s">
        <v>48</v>
      </c>
      <c r="B60" s="69">
        <v>132.73069105691209</v>
      </c>
      <c r="C60" s="69">
        <v>132.73069105691209</v>
      </c>
      <c r="D60" s="69">
        <v>129.76772809394922</v>
      </c>
      <c r="E60" s="69">
        <v>131.72501462665693</v>
      </c>
      <c r="F60" s="96">
        <v>131.72501462665693</v>
      </c>
      <c r="G60" s="48">
        <v>266.29892047748956</v>
      </c>
      <c r="H60" s="48">
        <v>266.29892047748956</v>
      </c>
      <c r="I60" s="106">
        <f t="shared" si="0"/>
        <v>0</v>
      </c>
    </row>
    <row r="61" spans="1:9" ht="14.4" x14ac:dyDescent="0.3">
      <c r="A61" s="71" t="s">
        <v>49</v>
      </c>
      <c r="B61" s="72">
        <v>41.119555288567767</v>
      </c>
      <c r="C61" s="72">
        <v>41.119555288567767</v>
      </c>
      <c r="D61" s="72">
        <v>41.119555288567767</v>
      </c>
      <c r="E61" s="72">
        <v>41.172875331562992</v>
      </c>
      <c r="F61" s="97">
        <v>41.172875331562992</v>
      </c>
      <c r="G61" s="48">
        <v>86.139856919766345</v>
      </c>
      <c r="H61" s="48">
        <v>86.139856919766345</v>
      </c>
      <c r="I61" s="106">
        <f t="shared" si="0"/>
        <v>0</v>
      </c>
    </row>
    <row r="62" spans="1:9" ht="14.4" x14ac:dyDescent="0.3">
      <c r="A62" s="68" t="s">
        <v>50</v>
      </c>
      <c r="B62" s="69">
        <v>1.1999999999999997</v>
      </c>
      <c r="C62" s="69">
        <v>1.1999999999999997</v>
      </c>
      <c r="D62" s="69">
        <v>1.1999999999999997</v>
      </c>
      <c r="E62" s="69">
        <v>1.1999999999999997</v>
      </c>
      <c r="F62" s="96">
        <v>1.1999999999999997</v>
      </c>
      <c r="G62" s="48">
        <v>1.8352941176470587</v>
      </c>
      <c r="H62" s="48">
        <v>1.8352941176470587</v>
      </c>
      <c r="I62" s="106">
        <f t="shared" si="0"/>
        <v>0</v>
      </c>
    </row>
    <row r="63" spans="1:9" ht="14.4" x14ac:dyDescent="0.3">
      <c r="A63" s="71" t="s">
        <v>51</v>
      </c>
      <c r="B63" s="72">
        <v>14.94</v>
      </c>
      <c r="C63" s="72">
        <v>14.94</v>
      </c>
      <c r="D63" s="72">
        <v>14.94</v>
      </c>
      <c r="E63" s="72">
        <v>14.94</v>
      </c>
      <c r="F63" s="97">
        <v>14.94</v>
      </c>
      <c r="G63" s="48">
        <v>35.023529411764706</v>
      </c>
      <c r="H63" s="48">
        <v>35.023529411764706</v>
      </c>
      <c r="I63" s="106">
        <f t="shared" si="0"/>
        <v>0</v>
      </c>
    </row>
    <row r="64" spans="1:9" ht="14.4" x14ac:dyDescent="0.3">
      <c r="A64" s="68" t="s">
        <v>52</v>
      </c>
      <c r="B64" s="69">
        <v>9.1920000000000019</v>
      </c>
      <c r="C64" s="69">
        <v>9.1920000000000019</v>
      </c>
      <c r="D64" s="69">
        <v>9.1920000000000019</v>
      </c>
      <c r="E64" s="69">
        <v>9.1920000000000019</v>
      </c>
      <c r="F64" s="96">
        <v>9.1920000000000019</v>
      </c>
      <c r="G64" s="48">
        <v>19.132941176470588</v>
      </c>
      <c r="H64" s="48">
        <v>19.132941176470588</v>
      </c>
      <c r="I64" s="106">
        <f t="shared" si="0"/>
        <v>0</v>
      </c>
    </row>
    <row r="65" spans="1:9" ht="15" x14ac:dyDescent="0.3">
      <c r="A65" s="65" t="s">
        <v>53</v>
      </c>
      <c r="B65" s="66">
        <v>57.600000000000016</v>
      </c>
      <c r="C65" s="66">
        <v>57.600000000000016</v>
      </c>
      <c r="D65" s="66">
        <v>57.600000000000016</v>
      </c>
      <c r="E65" s="66">
        <v>57.600000000000016</v>
      </c>
      <c r="F65" s="95">
        <v>59.404844034753914</v>
      </c>
      <c r="G65" s="47">
        <v>137.44172117706486</v>
      </c>
      <c r="H65" s="47">
        <v>137.05339610198121</v>
      </c>
      <c r="I65" s="105">
        <f t="shared" si="0"/>
        <v>-2.82537989016729E-3</v>
      </c>
    </row>
    <row r="66" spans="1:9" ht="14.4" x14ac:dyDescent="0.3">
      <c r="A66" s="68" t="s">
        <v>54</v>
      </c>
      <c r="B66" s="69">
        <v>57.600000000000016</v>
      </c>
      <c r="C66" s="69">
        <v>57.600000000000016</v>
      </c>
      <c r="D66" s="69">
        <v>57.600000000000016</v>
      </c>
      <c r="E66" s="69">
        <v>57.600000000000016</v>
      </c>
      <c r="F66" s="96">
        <v>59.404844034753914</v>
      </c>
      <c r="G66" s="48">
        <v>137.44172117706486</v>
      </c>
      <c r="H66" s="48">
        <v>137.05339610198121</v>
      </c>
      <c r="I66" s="106">
        <f t="shared" si="0"/>
        <v>-2.82537989016729E-3</v>
      </c>
    </row>
    <row r="67" spans="1:9" ht="15" x14ac:dyDescent="0.3">
      <c r="A67" s="78" t="s">
        <v>55</v>
      </c>
      <c r="B67" s="79">
        <v>4424.6757990761662</v>
      </c>
      <c r="C67" s="79">
        <v>6665.9230011790378</v>
      </c>
      <c r="D67" s="79">
        <v>5555.8639043763387</v>
      </c>
      <c r="E67" s="79">
        <v>5060.7158365786263</v>
      </c>
      <c r="F67" s="100">
        <v>5355.5383336888171</v>
      </c>
      <c r="G67" s="46">
        <v>6235.2821187106283</v>
      </c>
      <c r="H67" s="46">
        <v>6197.8374316107438</v>
      </c>
      <c r="I67" s="104">
        <f t="shared" si="0"/>
        <v>-6.0052915629145165E-3</v>
      </c>
    </row>
    <row r="68" spans="1:9" ht="15" x14ac:dyDescent="0.3">
      <c r="A68" s="74" t="s">
        <v>63</v>
      </c>
      <c r="B68" s="75">
        <v>546.05847585086042</v>
      </c>
      <c r="C68" s="75">
        <v>959.50569324809157</v>
      </c>
      <c r="D68" s="75">
        <v>1087.7264399460266</v>
      </c>
      <c r="E68" s="75">
        <v>902.08612670014008</v>
      </c>
      <c r="F68" s="98">
        <v>1004.0125053154087</v>
      </c>
      <c r="G68" s="47">
        <v>1340.2064908419488</v>
      </c>
      <c r="H68" s="47">
        <v>1333.1304637951184</v>
      </c>
      <c r="I68" s="105">
        <f t="shared" si="0"/>
        <v>-5.2798035938365073E-3</v>
      </c>
    </row>
    <row r="69" spans="1:9" ht="14.4" x14ac:dyDescent="0.3">
      <c r="A69" s="71" t="s">
        <v>56</v>
      </c>
      <c r="B69" s="72">
        <v>417.4369871681443</v>
      </c>
      <c r="C69" s="72">
        <v>705.29698714589688</v>
      </c>
      <c r="D69" s="72">
        <v>786.71662114955905</v>
      </c>
      <c r="E69" s="72">
        <v>660.04353213116735</v>
      </c>
      <c r="F69" s="97">
        <v>707.70876077618777</v>
      </c>
      <c r="G69" s="48">
        <v>737.99358958086577</v>
      </c>
      <c r="H69" s="48">
        <v>731.43059804682252</v>
      </c>
      <c r="I69" s="106">
        <f t="shared" si="0"/>
        <v>-8.8930197046435122E-3</v>
      </c>
    </row>
    <row r="70" spans="1:9" ht="14.4" x14ac:dyDescent="0.3">
      <c r="A70" s="68" t="s">
        <v>57</v>
      </c>
      <c r="B70" s="69">
        <v>26.553687420025941</v>
      </c>
      <c r="C70" s="69">
        <v>73.109239278463264</v>
      </c>
      <c r="D70" s="69">
        <v>73.015575651330991</v>
      </c>
      <c r="E70" s="69">
        <v>53.754979088024697</v>
      </c>
      <c r="F70" s="96">
        <v>68.672448211507643</v>
      </c>
      <c r="G70" s="48">
        <v>77.480354702098509</v>
      </c>
      <c r="H70" s="48">
        <v>76.967319189311098</v>
      </c>
      <c r="I70" s="106">
        <f t="shared" si="0"/>
        <v>-6.6214915349828152E-3</v>
      </c>
    </row>
    <row r="71" spans="1:9" ht="14.4" x14ac:dyDescent="0.3">
      <c r="A71" s="71" t="s">
        <v>58</v>
      </c>
      <c r="B71" s="72">
        <v>88.279801262690128</v>
      </c>
      <c r="C71" s="72">
        <v>156.63534182373141</v>
      </c>
      <c r="D71" s="72">
        <v>196.68399314513655</v>
      </c>
      <c r="E71" s="72">
        <v>162.626615480948</v>
      </c>
      <c r="F71" s="97">
        <v>196.60829632771322</v>
      </c>
      <c r="G71" s="48">
        <v>452.98401714722002</v>
      </c>
      <c r="H71" s="48">
        <v>452.98401714722002</v>
      </c>
      <c r="I71" s="106">
        <f t="shared" si="0"/>
        <v>0</v>
      </c>
    </row>
    <row r="72" spans="1:9" ht="14.4" x14ac:dyDescent="0.3">
      <c r="A72" s="68" t="s">
        <v>59</v>
      </c>
      <c r="B72" s="69">
        <v>13.788000000000002</v>
      </c>
      <c r="C72" s="69">
        <v>24.464125000000006</v>
      </c>
      <c r="D72" s="69">
        <v>31.310250000000007</v>
      </c>
      <c r="E72" s="69">
        <v>25.661000000000005</v>
      </c>
      <c r="F72" s="96">
        <v>31.023000000000007</v>
      </c>
      <c r="G72" s="49">
        <v>71.748529411764707</v>
      </c>
      <c r="H72" s="49">
        <v>71.748529411764707</v>
      </c>
      <c r="I72" s="107">
        <f t="shared" si="0"/>
        <v>0</v>
      </c>
    </row>
    <row r="73" spans="1:9" ht="15" x14ac:dyDescent="0.3">
      <c r="A73" s="81" t="s">
        <v>60</v>
      </c>
      <c r="B73" s="82">
        <v>4970.7342749270265</v>
      </c>
      <c r="C73" s="82">
        <v>7625.4286944271298</v>
      </c>
      <c r="D73" s="82">
        <v>6643.5903443223651</v>
      </c>
      <c r="E73" s="82">
        <v>5962.8019632787664</v>
      </c>
      <c r="F73" s="100">
        <v>6359.550839004226</v>
      </c>
      <c r="G73" s="46">
        <v>7575.4886095525771</v>
      </c>
      <c r="H73" s="46">
        <v>7530.9678954058618</v>
      </c>
      <c r="I73" s="104">
        <f t="shared" si="0"/>
        <v>-5.8769429196389167E-3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58</v>
      </c>
      <c r="C75" s="86">
        <v>58</v>
      </c>
      <c r="D75" s="86">
        <v>58</v>
      </c>
      <c r="E75" s="86">
        <v>58</v>
      </c>
      <c r="F75" s="86">
        <v>58</v>
      </c>
      <c r="G75" s="108">
        <v>58</v>
      </c>
      <c r="H75" s="108">
        <v>58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31.9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2.75" customHeight="1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8.75" hidden="1" customHeight="1" x14ac:dyDescent="0.3">
      <c r="A82" s="124"/>
      <c r="B82" s="124"/>
      <c r="C82" s="124"/>
      <c r="D82" s="124"/>
      <c r="E82" s="124"/>
      <c r="F82" s="124"/>
      <c r="G82" s="124"/>
      <c r="H82" s="93"/>
      <c r="I82" s="93"/>
    </row>
  </sheetData>
  <mergeCells count="5">
    <mergeCell ref="A2:I2"/>
    <mergeCell ref="A3:I3"/>
    <mergeCell ref="A4:I4"/>
    <mergeCell ref="A80:I80"/>
    <mergeCell ref="A82:G82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938D-D48E-4D3A-89A2-B4AD51842CF2}">
  <dimension ref="A1:T84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115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2968.3174900479739</v>
      </c>
      <c r="C9" s="64">
        <v>4886.1438982690379</v>
      </c>
      <c r="D9" s="63">
        <v>4592.7108379360516</v>
      </c>
      <c r="E9" s="63">
        <v>3982.7333014473475</v>
      </c>
      <c r="F9" s="99">
        <v>4110.1167234877612</v>
      </c>
      <c r="G9" s="46">
        <v>4134.0285843852789</v>
      </c>
      <c r="H9" s="46">
        <v>4115.2139551152759</v>
      </c>
      <c r="I9" s="104">
        <f>IFERROR(H9/G9-1,"-")</f>
        <v>-4.551160904176621E-3</v>
      </c>
    </row>
    <row r="10" spans="1:9" ht="15" x14ac:dyDescent="0.3">
      <c r="A10" s="65" t="s">
        <v>3</v>
      </c>
      <c r="B10" s="66">
        <v>479.15846316056144</v>
      </c>
      <c r="C10" s="66">
        <v>724.48216480257634</v>
      </c>
      <c r="D10" s="66">
        <v>783.64153408632058</v>
      </c>
      <c r="E10" s="66">
        <v>768.53029103816141</v>
      </c>
      <c r="F10" s="95">
        <v>689.18376686398551</v>
      </c>
      <c r="G10" s="47">
        <v>458.32042479788049</v>
      </c>
      <c r="H10" s="47">
        <v>436.81805947615175</v>
      </c>
      <c r="I10" s="105">
        <f t="shared" ref="I10:I73" si="0">IFERROR(H10/G10-1,"-")</f>
        <v>-4.6915572944869921E-2</v>
      </c>
    </row>
    <row r="11" spans="1:9" ht="14.4" x14ac:dyDescent="0.3">
      <c r="A11" s="68" t="s">
        <v>4</v>
      </c>
      <c r="B11" s="69">
        <v>458.77702531056144</v>
      </c>
      <c r="C11" s="69">
        <v>691.62716402452145</v>
      </c>
      <c r="D11" s="69">
        <v>752.54758122037299</v>
      </c>
      <c r="E11" s="69">
        <v>742.32502269002214</v>
      </c>
      <c r="F11" s="96">
        <v>661.65686243292805</v>
      </c>
      <c r="G11" s="48">
        <v>435.05671845165443</v>
      </c>
      <c r="H11" s="48">
        <v>414.14615973163023</v>
      </c>
      <c r="I11" s="106">
        <f t="shared" si="0"/>
        <v>-4.8063983000754096E-2</v>
      </c>
    </row>
    <row r="12" spans="1:9" ht="14.4" x14ac:dyDescent="0.3">
      <c r="A12" s="71" t="s">
        <v>5</v>
      </c>
      <c r="B12" s="72">
        <v>20.381437850000001</v>
      </c>
      <c r="C12" s="72">
        <v>32.855000778054873</v>
      </c>
      <c r="D12" s="72">
        <v>31.093952865947635</v>
      </c>
      <c r="E12" s="72">
        <v>26.205268348139288</v>
      </c>
      <c r="F12" s="97">
        <v>27.52690443105751</v>
      </c>
      <c r="G12" s="48">
        <v>23.263706346226066</v>
      </c>
      <c r="H12" s="48">
        <v>22.671899744521497</v>
      </c>
      <c r="I12" s="106">
        <f t="shared" si="0"/>
        <v>-2.5439050549250664E-2</v>
      </c>
    </row>
    <row r="13" spans="1:9" ht="15" x14ac:dyDescent="0.3">
      <c r="A13" s="74" t="s">
        <v>6</v>
      </c>
      <c r="B13" s="75">
        <v>1279.6560408724447</v>
      </c>
      <c r="C13" s="75">
        <v>2653.927949640215</v>
      </c>
      <c r="D13" s="75">
        <v>2053.9079608518218</v>
      </c>
      <c r="E13" s="75">
        <v>1701.1190018122873</v>
      </c>
      <c r="F13" s="98">
        <v>1898.0166369229846</v>
      </c>
      <c r="G13" s="47">
        <v>1924.1511702712735</v>
      </c>
      <c r="H13" s="47">
        <v>1922.1035230545262</v>
      </c>
      <c r="I13" s="105">
        <f t="shared" si="0"/>
        <v>-1.064182091503052E-3</v>
      </c>
    </row>
    <row r="14" spans="1:9" ht="14.4" x14ac:dyDescent="0.3">
      <c r="A14" s="71" t="s">
        <v>7</v>
      </c>
      <c r="B14" s="72">
        <v>58.003633969465646</v>
      </c>
      <c r="C14" s="72">
        <v>86.887052792020782</v>
      </c>
      <c r="D14" s="72">
        <v>107.78910540767698</v>
      </c>
      <c r="E14" s="72">
        <v>102.90252553690861</v>
      </c>
      <c r="F14" s="97">
        <v>112.80804710419626</v>
      </c>
      <c r="G14" s="48">
        <v>219.17076792566135</v>
      </c>
      <c r="H14" s="48">
        <v>218.30599437009246</v>
      </c>
      <c r="I14" s="106">
        <f t="shared" si="0"/>
        <v>-3.9456610192751818E-3</v>
      </c>
    </row>
    <row r="15" spans="1:9" ht="14.4" x14ac:dyDescent="0.3">
      <c r="A15" s="68" t="s">
        <v>8</v>
      </c>
      <c r="B15" s="69">
        <v>1154.5798425119026</v>
      </c>
      <c r="C15" s="69">
        <v>2470.5986507209436</v>
      </c>
      <c r="D15" s="69">
        <v>1708.1469543572948</v>
      </c>
      <c r="E15" s="69">
        <v>1358.426657754899</v>
      </c>
      <c r="F15" s="96">
        <v>1553.6012631563362</v>
      </c>
      <c r="G15" s="48">
        <v>1589.9962876885475</v>
      </c>
      <c r="H15" s="48">
        <v>1588.153747261437</v>
      </c>
      <c r="I15" s="106">
        <f t="shared" si="0"/>
        <v>-1.1588331629308612E-3</v>
      </c>
    </row>
    <row r="16" spans="1:9" ht="14.4" x14ac:dyDescent="0.3">
      <c r="A16" s="71" t="s">
        <v>9</v>
      </c>
      <c r="B16" s="72">
        <v>67.072564391076327</v>
      </c>
      <c r="C16" s="72">
        <v>96.442246127250584</v>
      </c>
      <c r="D16" s="72">
        <v>237.97190108685024</v>
      </c>
      <c r="E16" s="72">
        <v>239.78981852047971</v>
      </c>
      <c r="F16" s="97">
        <v>231.60732666245224</v>
      </c>
      <c r="G16" s="48">
        <v>114.98411465706486</v>
      </c>
      <c r="H16" s="48">
        <v>115.64378142299661</v>
      </c>
      <c r="I16" s="106">
        <f t="shared" si="0"/>
        <v>5.7370252221289331E-3</v>
      </c>
    </row>
    <row r="17" spans="1:9" ht="15" x14ac:dyDescent="0.3">
      <c r="A17" s="74" t="s">
        <v>10</v>
      </c>
      <c r="B17" s="75">
        <v>1037.1113184663816</v>
      </c>
      <c r="C17" s="75">
        <v>1290.6383437328509</v>
      </c>
      <c r="D17" s="75">
        <v>1415.2668728005756</v>
      </c>
      <c r="E17" s="75">
        <v>1182.2257415209001</v>
      </c>
      <c r="F17" s="98">
        <v>1182.0068487684052</v>
      </c>
      <c r="G17" s="47">
        <v>1335.3738613182509</v>
      </c>
      <c r="H17" s="47">
        <v>1340.0153136836634</v>
      </c>
      <c r="I17" s="105">
        <f t="shared" si="0"/>
        <v>3.4757699696401634E-3</v>
      </c>
    </row>
    <row r="18" spans="1:9" ht="14.4" x14ac:dyDescent="0.3">
      <c r="A18" s="71" t="s">
        <v>11</v>
      </c>
      <c r="B18" s="72">
        <v>338.69649264938016</v>
      </c>
      <c r="C18" s="72">
        <v>381.29143124738687</v>
      </c>
      <c r="D18" s="72">
        <v>517.55690313936827</v>
      </c>
      <c r="E18" s="72">
        <v>502.24560918918877</v>
      </c>
      <c r="F18" s="97">
        <v>450.91607143751867</v>
      </c>
      <c r="G18" s="48">
        <v>528.83030339309687</v>
      </c>
      <c r="H18" s="48">
        <v>532.3404599878628</v>
      </c>
      <c r="I18" s="106">
        <f t="shared" si="0"/>
        <v>6.6375859557290529E-3</v>
      </c>
    </row>
    <row r="19" spans="1:9" ht="14.4" x14ac:dyDescent="0.3">
      <c r="A19" s="68" t="s">
        <v>12</v>
      </c>
      <c r="B19" s="69">
        <v>315.68367528530064</v>
      </c>
      <c r="C19" s="69">
        <v>461.16899558341623</v>
      </c>
      <c r="D19" s="69">
        <v>289.66282253188979</v>
      </c>
      <c r="E19" s="69">
        <v>179.72278171152246</v>
      </c>
      <c r="F19" s="96">
        <v>197.60739844515149</v>
      </c>
      <c r="G19" s="48">
        <v>252.84200282499467</v>
      </c>
      <c r="H19" s="48">
        <v>253.77961482465446</v>
      </c>
      <c r="I19" s="106">
        <f t="shared" si="0"/>
        <v>3.7082920922311136E-3</v>
      </c>
    </row>
    <row r="20" spans="1:9" ht="14.4" x14ac:dyDescent="0.3">
      <c r="A20" s="71" t="s">
        <v>13</v>
      </c>
      <c r="B20" s="72">
        <v>319.39549263123348</v>
      </c>
      <c r="C20" s="72">
        <v>366.93090056468577</v>
      </c>
      <c r="D20" s="72">
        <v>479.60067776454565</v>
      </c>
      <c r="E20" s="72">
        <v>377.14763257618648</v>
      </c>
      <c r="F20" s="97">
        <v>404.59020219383132</v>
      </c>
      <c r="G20" s="48">
        <v>418.19486530625534</v>
      </c>
      <c r="H20" s="48">
        <v>418.38219804036817</v>
      </c>
      <c r="I20" s="106">
        <f t="shared" si="0"/>
        <v>4.4795560551813551E-4</v>
      </c>
    </row>
    <row r="21" spans="1:9" ht="14.4" x14ac:dyDescent="0.3">
      <c r="A21" s="68" t="s">
        <v>14</v>
      </c>
      <c r="B21" s="69">
        <v>63.33565790046741</v>
      </c>
      <c r="C21" s="69">
        <v>81.247016337362041</v>
      </c>
      <c r="D21" s="69">
        <v>128.44646936477187</v>
      </c>
      <c r="E21" s="69">
        <v>123.10971804400253</v>
      </c>
      <c r="F21" s="96">
        <v>128.8931766919039</v>
      </c>
      <c r="G21" s="48">
        <v>135.50668979390403</v>
      </c>
      <c r="H21" s="48">
        <v>135.51304083077804</v>
      </c>
      <c r="I21" s="106">
        <f t="shared" si="0"/>
        <v>4.6868806873323621E-5</v>
      </c>
    </row>
    <row r="22" spans="1:9" ht="15" x14ac:dyDescent="0.3">
      <c r="A22" s="74" t="s">
        <v>129</v>
      </c>
      <c r="B22" s="75">
        <v>90.329440881919638</v>
      </c>
      <c r="C22" s="75">
        <v>135.03321342672785</v>
      </c>
      <c r="D22" s="75">
        <v>128.81723241955572</v>
      </c>
      <c r="E22" s="75">
        <v>119.78368929822111</v>
      </c>
      <c r="F22" s="112">
        <v>127.64401089126267</v>
      </c>
      <c r="G22" s="47">
        <v>123.49325314774572</v>
      </c>
      <c r="H22" s="47">
        <v>123.5871840508061</v>
      </c>
      <c r="I22" s="105">
        <f t="shared" si="0"/>
        <v>7.6061566657403823E-4</v>
      </c>
    </row>
    <row r="23" spans="1:9" ht="14.4" x14ac:dyDescent="0.3">
      <c r="A23" s="71" t="s">
        <v>15</v>
      </c>
      <c r="B23" s="72">
        <v>8.7459360999999998</v>
      </c>
      <c r="C23" s="72">
        <v>13.07427395185185</v>
      </c>
      <c r="D23" s="72">
        <v>13.14332170803093</v>
      </c>
      <c r="E23" s="72">
        <v>12.221622326845917</v>
      </c>
      <c r="F23" s="113">
        <v>13.023617009431907</v>
      </c>
      <c r="G23" s="48">
        <v>11.459127418135816</v>
      </c>
      <c r="H23" s="48">
        <v>11.46784340997532</v>
      </c>
      <c r="I23" s="106">
        <f>IFERROR(H23/G23-1,"-")</f>
        <v>7.6061566657403823E-4</v>
      </c>
    </row>
    <row r="24" spans="1:9" ht="15" x14ac:dyDescent="0.3">
      <c r="A24" s="68" t="s">
        <v>16</v>
      </c>
      <c r="B24" s="69">
        <v>28.801073039062498</v>
      </c>
      <c r="C24" s="69">
        <v>43.054638716145831</v>
      </c>
      <c r="D24" s="69">
        <v>38.259976390874492</v>
      </c>
      <c r="E24" s="69">
        <v>35.576925838891498</v>
      </c>
      <c r="F24" s="112">
        <v>37.911518136255559</v>
      </c>
      <c r="G24" s="48">
        <v>36.351721555390149</v>
      </c>
      <c r="H24" s="48">
        <v>36.379371244312118</v>
      </c>
      <c r="I24" s="106">
        <f t="shared" si="0"/>
        <v>7.6061566657403823E-4</v>
      </c>
    </row>
    <row r="25" spans="1:9" ht="14.4" x14ac:dyDescent="0.3">
      <c r="A25" s="71" t="s">
        <v>17</v>
      </c>
      <c r="B25" s="72">
        <v>17.897549999999999</v>
      </c>
      <c r="C25" s="72">
        <v>26.754994444444449</v>
      </c>
      <c r="D25" s="72">
        <v>24.654934991190348</v>
      </c>
      <c r="E25" s="72">
        <v>22.925962754997453</v>
      </c>
      <c r="F25" s="113">
        <v>24.430386613872944</v>
      </c>
      <c r="G25" s="48">
        <v>25.554813044210999</v>
      </c>
      <c r="H25" s="48">
        <v>25.5742504353688</v>
      </c>
      <c r="I25" s="106">
        <f t="shared" si="0"/>
        <v>7.6061566657426027E-4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34.884881742857146</v>
      </c>
      <c r="C27" s="72">
        <v>52.149306314285717</v>
      </c>
      <c r="D27" s="72">
        <v>52.758999329459954</v>
      </c>
      <c r="E27" s="72">
        <v>49.059178377486234</v>
      </c>
      <c r="F27" s="113">
        <v>52.278489131702251</v>
      </c>
      <c r="G27" s="48">
        <v>50.127591130008753</v>
      </c>
      <c r="H27" s="48">
        <v>50.165718961149864</v>
      </c>
      <c r="I27" s="106">
        <f t="shared" si="0"/>
        <v>7.6061566657426027E-4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82.062226666666646</v>
      </c>
      <c r="C31" s="66">
        <v>82.062226666666646</v>
      </c>
      <c r="D31" s="66">
        <v>211.07723777777781</v>
      </c>
      <c r="E31" s="66">
        <v>211.07457777777776</v>
      </c>
      <c r="F31" s="95">
        <v>213.26546004112296</v>
      </c>
      <c r="G31" s="47">
        <v>292.68987485012843</v>
      </c>
      <c r="H31" s="47">
        <v>292.68987485012843</v>
      </c>
      <c r="I31" s="105">
        <f t="shared" si="0"/>
        <v>0</v>
      </c>
    </row>
    <row r="32" spans="1:9" ht="14.4" x14ac:dyDescent="0.3">
      <c r="A32" s="68" t="s">
        <v>21</v>
      </c>
      <c r="B32" s="69">
        <v>60.848893333333315</v>
      </c>
      <c r="C32" s="69">
        <v>60.848893333333315</v>
      </c>
      <c r="D32" s="69">
        <v>201.52168222222227</v>
      </c>
      <c r="E32" s="69">
        <v>201.51902222222222</v>
      </c>
      <c r="F32" s="96">
        <v>203.70990448556742</v>
      </c>
      <c r="G32" s="48">
        <v>268.09759089951115</v>
      </c>
      <c r="H32" s="48">
        <v>268.09759089951115</v>
      </c>
      <c r="I32" s="106">
        <f t="shared" si="0"/>
        <v>0</v>
      </c>
    </row>
    <row r="33" spans="1:20" ht="14.4" x14ac:dyDescent="0.3">
      <c r="A33" s="71" t="s">
        <v>22</v>
      </c>
      <c r="B33" s="72">
        <v>21.213333333333335</v>
      </c>
      <c r="C33" s="72">
        <v>21.213333333333335</v>
      </c>
      <c r="D33" s="72">
        <v>9.5555555555555554</v>
      </c>
      <c r="E33" s="72">
        <v>9.5555555555555554</v>
      </c>
      <c r="F33" s="97">
        <v>9.5555555555555554</v>
      </c>
      <c r="G33" s="48">
        <v>24.592283950617279</v>
      </c>
      <c r="H33" s="48">
        <v>24.592283950617279</v>
      </c>
      <c r="I33" s="106">
        <f t="shared" si="0"/>
        <v>0</v>
      </c>
    </row>
    <row r="34" spans="1:20" ht="15" x14ac:dyDescent="0.3">
      <c r="A34" s="74" t="s">
        <v>23</v>
      </c>
      <c r="B34" s="75">
        <v>84.254843253968261</v>
      </c>
      <c r="C34" s="75">
        <v>84.254843253968261</v>
      </c>
      <c r="D34" s="75">
        <v>259.34770634920636</v>
      </c>
      <c r="E34" s="75">
        <v>259.34770634920636</v>
      </c>
      <c r="F34" s="98">
        <v>259.34770634920636</v>
      </c>
      <c r="G34" s="47">
        <v>269.33560184126981</v>
      </c>
      <c r="H34" s="47">
        <v>269.33560184126981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82.806843253968268</v>
      </c>
      <c r="C35" s="72">
        <v>82.806843253968268</v>
      </c>
      <c r="D35" s="72">
        <v>255.77770634920637</v>
      </c>
      <c r="E35" s="72">
        <v>255.77770634920637</v>
      </c>
      <c r="F35" s="97">
        <v>255.77770634920637</v>
      </c>
      <c r="G35" s="48">
        <v>264.91465739682536</v>
      </c>
      <c r="H35" s="48">
        <v>264.91465739682536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1.4480000000000002</v>
      </c>
      <c r="C36" s="69">
        <v>1.4480000000000002</v>
      </c>
      <c r="D36" s="69">
        <v>3.57</v>
      </c>
      <c r="E36" s="69">
        <v>3.57</v>
      </c>
      <c r="F36" s="96">
        <v>3.57</v>
      </c>
      <c r="G36" s="48">
        <v>4.4209444444444443</v>
      </c>
      <c r="H36" s="48">
        <v>4.4209444444444443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154.70832214523813</v>
      </c>
      <c r="C37" s="66">
        <v>177.7022002952381</v>
      </c>
      <c r="D37" s="66">
        <v>181.95581054920638</v>
      </c>
      <c r="E37" s="66">
        <v>203.40920785789689</v>
      </c>
      <c r="F37" s="95">
        <v>210.42334715755376</v>
      </c>
      <c r="G37" s="47">
        <v>277.38462659762399</v>
      </c>
      <c r="H37" s="47">
        <v>277.30138469762392</v>
      </c>
      <c r="I37" s="105">
        <f t="shared" si="0"/>
        <v>-3.000955785513737E-4</v>
      </c>
    </row>
    <row r="38" spans="1:20" ht="14.4" x14ac:dyDescent="0.3">
      <c r="A38" s="68" t="s">
        <v>27</v>
      </c>
      <c r="B38" s="69">
        <v>14.562986666666667</v>
      </c>
      <c r="C38" s="69">
        <v>14.562986666666667</v>
      </c>
      <c r="D38" s="69">
        <v>37.458309777777792</v>
      </c>
      <c r="E38" s="69">
        <v>53.134711486468312</v>
      </c>
      <c r="F38" s="96">
        <v>53.98354118612513</v>
      </c>
      <c r="G38" s="48">
        <v>73.447965422941394</v>
      </c>
      <c r="H38" s="48">
        <v>73.364723522941389</v>
      </c>
      <c r="I38" s="106">
        <f t="shared" si="0"/>
        <v>-1.1333452127729737E-3</v>
      </c>
    </row>
    <row r="39" spans="1:20" ht="14.4" x14ac:dyDescent="0.3">
      <c r="A39" s="71" t="s">
        <v>28</v>
      </c>
      <c r="B39" s="72">
        <v>62.014470000000017</v>
      </c>
      <c r="C39" s="72">
        <v>72.886280000000014</v>
      </c>
      <c r="D39" s="72">
        <v>64.379280000000008</v>
      </c>
      <c r="E39" s="72">
        <v>67.110720000000001</v>
      </c>
      <c r="F39" s="97">
        <v>70.025760000000034</v>
      </c>
      <c r="G39" s="48">
        <v>92.550549000000004</v>
      </c>
      <c r="H39" s="48">
        <v>92.550549000000004</v>
      </c>
      <c r="I39" s="106">
        <f t="shared" si="0"/>
        <v>0</v>
      </c>
    </row>
    <row r="40" spans="1:20" ht="14.4" x14ac:dyDescent="0.3">
      <c r="A40" s="68" t="s">
        <v>29</v>
      </c>
      <c r="B40" s="69">
        <v>62.014470000000017</v>
      </c>
      <c r="C40" s="69">
        <v>72.886280000000014</v>
      </c>
      <c r="D40" s="69">
        <v>64.379280000000008</v>
      </c>
      <c r="E40" s="69">
        <v>67.110720000000001</v>
      </c>
      <c r="F40" s="96">
        <v>70.025760000000034</v>
      </c>
      <c r="G40" s="48">
        <v>92.550549000000004</v>
      </c>
      <c r="H40" s="48">
        <v>92.550549000000004</v>
      </c>
      <c r="I40" s="106">
        <f t="shared" si="0"/>
        <v>0</v>
      </c>
    </row>
    <row r="41" spans="1:20" ht="14.4" x14ac:dyDescent="0.3">
      <c r="A41" s="71" t="s">
        <v>30</v>
      </c>
      <c r="B41" s="72">
        <v>4.2167314285714284</v>
      </c>
      <c r="C41" s="72">
        <v>4.2167314285714284</v>
      </c>
      <c r="D41" s="72">
        <v>3.7473235714285731</v>
      </c>
      <c r="E41" s="72">
        <v>3.7473235714285731</v>
      </c>
      <c r="F41" s="97">
        <v>3.7473235714285731</v>
      </c>
      <c r="G41" s="48">
        <v>3.5391389285714285</v>
      </c>
      <c r="H41" s="48">
        <v>3.5391389285714281</v>
      </c>
      <c r="I41" s="106">
        <f t="shared" si="0"/>
        <v>-1.1102230246251565E-16</v>
      </c>
    </row>
    <row r="42" spans="1:20" ht="14.4" x14ac:dyDescent="0.3">
      <c r="A42" s="68" t="s">
        <v>31</v>
      </c>
      <c r="B42" s="69">
        <v>7.1316640500000013</v>
      </c>
      <c r="C42" s="69">
        <v>8.3819222</v>
      </c>
      <c r="D42" s="69">
        <v>7.4036172000000002</v>
      </c>
      <c r="E42" s="69">
        <v>7.7177327999999976</v>
      </c>
      <c r="F42" s="96">
        <v>8.052962400000002</v>
      </c>
      <c r="G42" s="48">
        <v>10.643313135</v>
      </c>
      <c r="H42" s="48">
        <v>10.643313135</v>
      </c>
      <c r="I42" s="106">
        <f t="shared" si="0"/>
        <v>0</v>
      </c>
    </row>
    <row r="43" spans="1:20" ht="14.4" x14ac:dyDescent="0.3">
      <c r="A43" s="71" t="s">
        <v>32</v>
      </c>
      <c r="B43" s="72">
        <v>4.7679999999999998</v>
      </c>
      <c r="C43" s="72">
        <v>4.7679999999999998</v>
      </c>
      <c r="D43" s="72">
        <v>4.588000000000001</v>
      </c>
      <c r="E43" s="72">
        <v>4.588000000000001</v>
      </c>
      <c r="F43" s="97">
        <v>4.588000000000001</v>
      </c>
      <c r="G43" s="48">
        <v>4.6531111111111105</v>
      </c>
      <c r="H43" s="48">
        <v>4.6531111111111105</v>
      </c>
      <c r="I43" s="106">
        <f t="shared" si="0"/>
        <v>0</v>
      </c>
    </row>
    <row r="44" spans="1:20" ht="15" x14ac:dyDescent="0.3">
      <c r="A44" s="74" t="s">
        <v>33</v>
      </c>
      <c r="B44" s="75">
        <v>260.39731475819707</v>
      </c>
      <c r="C44" s="75">
        <v>398.41111570560014</v>
      </c>
      <c r="D44" s="75">
        <v>334.02233009316677</v>
      </c>
      <c r="E44" s="75">
        <v>296.7743135611106</v>
      </c>
      <c r="F44" s="98">
        <v>301.26653403591308</v>
      </c>
      <c r="G44" s="47">
        <v>381.81362467430711</v>
      </c>
      <c r="H44" s="47">
        <v>380.60755966480315</v>
      </c>
      <c r="I44" s="105">
        <f t="shared" si="0"/>
        <v>-3.1587793927803087E-3</v>
      </c>
    </row>
    <row r="45" spans="1:20" ht="14.4" x14ac:dyDescent="0.3">
      <c r="A45" s="71" t="s">
        <v>34</v>
      </c>
      <c r="B45" s="72">
        <v>229.48808672644176</v>
      </c>
      <c r="C45" s="72">
        <v>355.88848333786314</v>
      </c>
      <c r="D45" s="72">
        <v>296.98985196364765</v>
      </c>
      <c r="E45" s="72">
        <v>259.74183543159148</v>
      </c>
      <c r="F45" s="97">
        <v>264.23405590639396</v>
      </c>
      <c r="G45" s="48">
        <v>346.87490948048173</v>
      </c>
      <c r="H45" s="48">
        <v>345.66884447097783</v>
      </c>
      <c r="I45" s="106">
        <f t="shared" si="0"/>
        <v>-3.4769450788765255E-3</v>
      </c>
    </row>
    <row r="46" spans="1:20" ht="14.4" x14ac:dyDescent="0.3">
      <c r="A46" s="68" t="s">
        <v>35</v>
      </c>
      <c r="B46" s="69">
        <v>21.084885909323049</v>
      </c>
      <c r="C46" s="69">
        <v>32.69829024530474</v>
      </c>
      <c r="D46" s="69">
        <v>0</v>
      </c>
      <c r="E46" s="69">
        <v>0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9.8243421224322809</v>
      </c>
      <c r="C47" s="72">
        <v>9.8243421224322809</v>
      </c>
      <c r="D47" s="72">
        <v>37.032478129519127</v>
      </c>
      <c r="E47" s="72">
        <v>37.032478129519127</v>
      </c>
      <c r="F47" s="97">
        <v>37.032478129519127</v>
      </c>
      <c r="G47" s="48">
        <v>34.938715193825345</v>
      </c>
      <c r="H47" s="48">
        <v>34.938715193825345</v>
      </c>
      <c r="I47" s="106">
        <f t="shared" si="0"/>
        <v>0</v>
      </c>
    </row>
    <row r="48" spans="1:20" ht="15" x14ac:dyDescent="0.3">
      <c r="A48" s="74" t="s">
        <v>37</v>
      </c>
      <c r="B48" s="75">
        <v>190.19467954852286</v>
      </c>
      <c r="C48" s="75">
        <v>190.19467954852286</v>
      </c>
      <c r="D48" s="75">
        <v>235.18080000000006</v>
      </c>
      <c r="E48" s="75">
        <v>235.18080000000006</v>
      </c>
      <c r="F48" s="98">
        <v>235.18080000000006</v>
      </c>
      <c r="G48" s="47">
        <v>228.06</v>
      </c>
      <c r="H48" s="47">
        <v>228.06</v>
      </c>
      <c r="I48" s="105">
        <f t="shared" si="0"/>
        <v>0</v>
      </c>
    </row>
    <row r="49" spans="1:9" ht="14.4" x14ac:dyDescent="0.3">
      <c r="A49" s="71" t="s">
        <v>62</v>
      </c>
      <c r="B49" s="72">
        <v>66.097629774261435</v>
      </c>
      <c r="C49" s="72">
        <v>66.097629774261435</v>
      </c>
      <c r="D49" s="72">
        <v>119.98080000000003</v>
      </c>
      <c r="E49" s="72">
        <v>119.98080000000003</v>
      </c>
      <c r="F49" s="97">
        <v>119.98080000000003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66.097629774261435</v>
      </c>
      <c r="C50" s="69">
        <v>66.097629774261435</v>
      </c>
      <c r="D50" s="69">
        <v>0</v>
      </c>
      <c r="E50" s="69">
        <v>0</v>
      </c>
      <c r="F50" s="96">
        <v>0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57.999419999999994</v>
      </c>
      <c r="C51" s="72">
        <v>57.999419999999994</v>
      </c>
      <c r="D51" s="72">
        <v>115.20000000000003</v>
      </c>
      <c r="E51" s="72">
        <v>115.20000000000003</v>
      </c>
      <c r="F51" s="97">
        <v>115.20000000000003</v>
      </c>
      <c r="G51" s="48">
        <v>228.06</v>
      </c>
      <c r="H51" s="48">
        <v>228.06</v>
      </c>
      <c r="I51" s="106">
        <f t="shared" si="0"/>
        <v>0</v>
      </c>
    </row>
    <row r="52" spans="1:9" ht="15" x14ac:dyDescent="0.3">
      <c r="A52" s="74" t="s">
        <v>40</v>
      </c>
      <c r="B52" s="75">
        <v>87.775050228848414</v>
      </c>
      <c r="C52" s="75">
        <v>115.88481783370366</v>
      </c>
      <c r="D52" s="75">
        <v>133.76600955351421</v>
      </c>
      <c r="E52" s="75">
        <v>129.16825766181873</v>
      </c>
      <c r="F52" s="98">
        <v>130.41599062092894</v>
      </c>
      <c r="G52" s="47">
        <v>111.43120437534789</v>
      </c>
      <c r="H52" s="47">
        <v>111.40448162349065</v>
      </c>
      <c r="I52" s="105">
        <f t="shared" si="0"/>
        <v>-2.3981390138461123E-4</v>
      </c>
    </row>
    <row r="53" spans="1:9" ht="14.4" x14ac:dyDescent="0.3">
      <c r="A53" s="71" t="s">
        <v>41</v>
      </c>
      <c r="B53" s="72">
        <v>10.59542005493536</v>
      </c>
      <c r="C53" s="72">
        <v>16.431301630805098</v>
      </c>
      <c r="D53" s="72">
        <v>30.198501954576852</v>
      </c>
      <c r="E53" s="72">
        <v>26.411051667605118</v>
      </c>
      <c r="F53" s="97">
        <v>26.867829324793615</v>
      </c>
      <c r="G53" s="48">
        <v>10.444154937176489</v>
      </c>
      <c r="H53" s="48">
        <v>10.407841184064649</v>
      </c>
      <c r="I53" s="106">
        <f t="shared" si="0"/>
        <v>-3.4769450788765255E-3</v>
      </c>
    </row>
    <row r="54" spans="1:9" ht="14.4" x14ac:dyDescent="0.3">
      <c r="A54" s="68" t="s">
        <v>42</v>
      </c>
      <c r="B54" s="69">
        <v>44.101630173913044</v>
      </c>
      <c r="C54" s="69">
        <v>65.906316202898566</v>
      </c>
      <c r="D54" s="69">
        <v>13.007507598937364</v>
      </c>
      <c r="E54" s="69">
        <v>12.197205994213613</v>
      </c>
      <c r="F54" s="96">
        <v>12.988161296135345</v>
      </c>
      <c r="G54" s="48">
        <v>11.831493882615833</v>
      </c>
      <c r="H54" s="48">
        <v>11.841084883870444</v>
      </c>
      <c r="I54" s="106">
        <f t="shared" si="0"/>
        <v>8.1063315839635663E-4</v>
      </c>
    </row>
    <row r="55" spans="1:9" ht="14.4" x14ac:dyDescent="0.3">
      <c r="A55" s="71" t="s">
        <v>43</v>
      </c>
      <c r="B55" s="72">
        <v>33.078000000000003</v>
      </c>
      <c r="C55" s="72">
        <v>33.547199999999997</v>
      </c>
      <c r="D55" s="72">
        <v>90.559999999999988</v>
      </c>
      <c r="E55" s="72">
        <v>90.559999999999988</v>
      </c>
      <c r="F55" s="97">
        <v>90.559999999999988</v>
      </c>
      <c r="G55" s="48">
        <v>89.155555555555566</v>
      </c>
      <c r="H55" s="48">
        <v>89.155555555555566</v>
      </c>
      <c r="I55" s="106">
        <f t="shared" si="0"/>
        <v>0</v>
      </c>
    </row>
    <row r="56" spans="1:9" s="4" customFormat="1" ht="15" x14ac:dyDescent="0.3">
      <c r="A56" s="74" t="s">
        <v>44</v>
      </c>
      <c r="B56" s="75">
        <v>397.55903539823277</v>
      </c>
      <c r="C56" s="75">
        <v>446.46371009537165</v>
      </c>
      <c r="D56" s="75">
        <v>449.55235494260518</v>
      </c>
      <c r="E56" s="75">
        <v>377.16086407589472</v>
      </c>
      <c r="F56" s="98">
        <v>454.27286367974631</v>
      </c>
      <c r="G56" s="47">
        <v>398.61287899103883</v>
      </c>
      <c r="H56" s="47">
        <v>394.80223717701813</v>
      </c>
      <c r="I56" s="105">
        <f t="shared" si="0"/>
        <v>-9.5597558806080896E-3</v>
      </c>
    </row>
    <row r="57" spans="1:9" ht="14.4" x14ac:dyDescent="0.3">
      <c r="A57" s="71" t="s">
        <v>45</v>
      </c>
      <c r="B57" s="72">
        <v>397.55903539823277</v>
      </c>
      <c r="C57" s="72">
        <v>446.46371009537165</v>
      </c>
      <c r="D57" s="72">
        <v>449.55235494260518</v>
      </c>
      <c r="E57" s="72">
        <v>377.16086407589472</v>
      </c>
      <c r="F57" s="97">
        <v>454.27286367974631</v>
      </c>
      <c r="G57" s="48">
        <v>398.61287899103883</v>
      </c>
      <c r="H57" s="48">
        <v>394.80223717701813</v>
      </c>
      <c r="I57" s="106">
        <f t="shared" si="0"/>
        <v>-9.5597558806080896E-3</v>
      </c>
    </row>
    <row r="58" spans="1:9" ht="15" x14ac:dyDescent="0.3">
      <c r="A58" s="62" t="s">
        <v>46</v>
      </c>
      <c r="B58" s="63">
        <v>4143.2067353809816</v>
      </c>
      <c r="C58" s="63">
        <v>6299.0552650014424</v>
      </c>
      <c r="D58" s="63">
        <v>6186.5358494237507</v>
      </c>
      <c r="E58" s="63">
        <v>5483.7744509532749</v>
      </c>
      <c r="F58" s="99">
        <v>5701.02396533111</v>
      </c>
      <c r="G58" s="46">
        <v>5800.6665208648665</v>
      </c>
      <c r="H58" s="46">
        <v>5776.7252201194815</v>
      </c>
      <c r="I58" s="104">
        <f t="shared" si="0"/>
        <v>-4.1273361706397615E-3</v>
      </c>
    </row>
    <row r="59" spans="1:9" ht="15" x14ac:dyDescent="0.3">
      <c r="A59" s="65" t="s">
        <v>47</v>
      </c>
      <c r="B59" s="66">
        <v>157.89119985434496</v>
      </c>
      <c r="C59" s="66">
        <v>157.89119985434496</v>
      </c>
      <c r="D59" s="66">
        <v>463.68996808154657</v>
      </c>
      <c r="E59" s="66">
        <v>463.68996808154657</v>
      </c>
      <c r="F59" s="95">
        <v>463.68996808154657</v>
      </c>
      <c r="G59" s="47">
        <v>451.65562630657377</v>
      </c>
      <c r="H59" s="47">
        <v>451.65562630657377</v>
      </c>
      <c r="I59" s="105">
        <f t="shared" si="0"/>
        <v>0</v>
      </c>
    </row>
    <row r="60" spans="1:9" ht="14.4" x14ac:dyDescent="0.3">
      <c r="A60" s="68" t="s">
        <v>48</v>
      </c>
      <c r="B60" s="69">
        <v>97.805881451267283</v>
      </c>
      <c r="C60" s="69">
        <v>97.805881451267283</v>
      </c>
      <c r="D60" s="69">
        <v>328.89098447908333</v>
      </c>
      <c r="E60" s="69">
        <v>328.89098447908333</v>
      </c>
      <c r="F60" s="96">
        <v>328.89098447908333</v>
      </c>
      <c r="G60" s="48">
        <v>302.93291829066317</v>
      </c>
      <c r="H60" s="48">
        <v>302.93291829066317</v>
      </c>
      <c r="I60" s="106">
        <f t="shared" si="0"/>
        <v>0</v>
      </c>
    </row>
    <row r="61" spans="1:9" ht="14.4" x14ac:dyDescent="0.3">
      <c r="A61" s="71" t="s">
        <v>49</v>
      </c>
      <c r="B61" s="72">
        <v>43.173318403077708</v>
      </c>
      <c r="C61" s="72">
        <v>43.173318403077708</v>
      </c>
      <c r="D61" s="72">
        <v>100.29498360246326</v>
      </c>
      <c r="E61" s="72">
        <v>100.29498360246326</v>
      </c>
      <c r="F61" s="97">
        <v>100.29498360246326</v>
      </c>
      <c r="G61" s="48">
        <v>110.91848579368838</v>
      </c>
      <c r="H61" s="48">
        <v>110.91848579368839</v>
      </c>
      <c r="I61" s="106">
        <f t="shared" si="0"/>
        <v>2.2204460492503131E-16</v>
      </c>
    </row>
    <row r="62" spans="1:9" ht="14.4" x14ac:dyDescent="0.3">
      <c r="A62" s="68" t="s">
        <v>50</v>
      </c>
      <c r="B62" s="69">
        <v>3.4560000000000008</v>
      </c>
      <c r="C62" s="69">
        <v>3.4560000000000008</v>
      </c>
      <c r="D62" s="69">
        <v>5.1199999999999992</v>
      </c>
      <c r="E62" s="69">
        <v>5.1199999999999992</v>
      </c>
      <c r="F62" s="96">
        <v>5.1199999999999992</v>
      </c>
      <c r="G62" s="48">
        <v>4.8355555555555556</v>
      </c>
      <c r="H62" s="48">
        <v>4.8355555555555556</v>
      </c>
      <c r="I62" s="106">
        <f t="shared" si="0"/>
        <v>0</v>
      </c>
    </row>
    <row r="63" spans="1:9" ht="14.4" x14ac:dyDescent="0.3">
      <c r="A63" s="71" t="s">
        <v>51</v>
      </c>
      <c r="B63" s="72">
        <v>7.6640000000000006</v>
      </c>
      <c r="C63" s="72">
        <v>7.6640000000000006</v>
      </c>
      <c r="D63" s="72">
        <v>15.103999999999994</v>
      </c>
      <c r="E63" s="72">
        <v>15.103999999999994</v>
      </c>
      <c r="F63" s="97">
        <v>15.103999999999994</v>
      </c>
      <c r="G63" s="48">
        <v>15.28488888888889</v>
      </c>
      <c r="H63" s="48">
        <v>15.28488888888889</v>
      </c>
      <c r="I63" s="106">
        <f t="shared" si="0"/>
        <v>0</v>
      </c>
    </row>
    <row r="64" spans="1:9" ht="14.4" x14ac:dyDescent="0.3">
      <c r="A64" s="68" t="s">
        <v>52</v>
      </c>
      <c r="B64" s="69">
        <v>5.7920000000000007</v>
      </c>
      <c r="C64" s="69">
        <v>5.7920000000000007</v>
      </c>
      <c r="D64" s="69">
        <v>14.28</v>
      </c>
      <c r="E64" s="69">
        <v>14.28</v>
      </c>
      <c r="F64" s="96">
        <v>14.28</v>
      </c>
      <c r="G64" s="48">
        <v>17.683777777777777</v>
      </c>
      <c r="H64" s="48">
        <v>17.683777777777777</v>
      </c>
      <c r="I64" s="106">
        <f t="shared" si="0"/>
        <v>0</v>
      </c>
    </row>
    <row r="65" spans="1:9" ht="15" x14ac:dyDescent="0.3">
      <c r="A65" s="65" t="s">
        <v>53</v>
      </c>
      <c r="B65" s="66">
        <v>72</v>
      </c>
      <c r="C65" s="66">
        <v>72</v>
      </c>
      <c r="D65" s="66">
        <v>120</v>
      </c>
      <c r="E65" s="66">
        <v>120</v>
      </c>
      <c r="F65" s="95">
        <v>139.01428560084591</v>
      </c>
      <c r="G65" s="47">
        <v>113.24667407628215</v>
      </c>
      <c r="H65" s="47">
        <v>112.85107225357588</v>
      </c>
      <c r="I65" s="105">
        <f t="shared" si="0"/>
        <v>-3.4932754178704783E-3</v>
      </c>
    </row>
    <row r="66" spans="1:9" ht="14.4" x14ac:dyDescent="0.3">
      <c r="A66" s="68" t="s">
        <v>54</v>
      </c>
      <c r="B66" s="69">
        <v>72</v>
      </c>
      <c r="C66" s="69">
        <v>72</v>
      </c>
      <c r="D66" s="69">
        <v>120</v>
      </c>
      <c r="E66" s="69">
        <v>120</v>
      </c>
      <c r="F66" s="96">
        <v>139.01428560084591</v>
      </c>
      <c r="G66" s="48">
        <v>113.24667407628215</v>
      </c>
      <c r="H66" s="48">
        <v>112.85107225357588</v>
      </c>
      <c r="I66" s="106">
        <f t="shared" si="0"/>
        <v>-3.4932754178704783E-3</v>
      </c>
    </row>
    <row r="67" spans="1:9" ht="15" x14ac:dyDescent="0.3">
      <c r="A67" s="78" t="s">
        <v>55</v>
      </c>
      <c r="B67" s="79">
        <v>4373.097935235327</v>
      </c>
      <c r="C67" s="79">
        <v>6528.9464648557878</v>
      </c>
      <c r="D67" s="79">
        <v>6770.2258175052975</v>
      </c>
      <c r="E67" s="79">
        <v>6067.4644190348217</v>
      </c>
      <c r="F67" s="100">
        <v>6303.7282190135029</v>
      </c>
      <c r="G67" s="46">
        <v>6365.5688212477226</v>
      </c>
      <c r="H67" s="46">
        <v>6341.2319186796312</v>
      </c>
      <c r="I67" s="104">
        <f t="shared" si="0"/>
        <v>-3.823209402254335E-3</v>
      </c>
    </row>
    <row r="68" spans="1:9" ht="15" x14ac:dyDescent="0.3">
      <c r="A68" s="74" t="s">
        <v>63</v>
      </c>
      <c r="B68" s="75">
        <v>567.22788302173433</v>
      </c>
      <c r="C68" s="75">
        <v>777.83324964380279</v>
      </c>
      <c r="D68" s="75">
        <v>1192.4397960704014</v>
      </c>
      <c r="E68" s="75">
        <v>964.29982591345788</v>
      </c>
      <c r="F68" s="98">
        <v>1167.876498793217</v>
      </c>
      <c r="G68" s="47">
        <v>1111.7540931892668</v>
      </c>
      <c r="H68" s="47">
        <v>1107.4641098341699</v>
      </c>
      <c r="I68" s="105">
        <f t="shared" si="0"/>
        <v>-3.8587520220323412E-3</v>
      </c>
    </row>
    <row r="69" spans="1:9" ht="14.4" x14ac:dyDescent="0.3">
      <c r="A69" s="71" t="s">
        <v>56</v>
      </c>
      <c r="B69" s="72">
        <v>397.55903539823277</v>
      </c>
      <c r="C69" s="72">
        <v>446.46371009537165</v>
      </c>
      <c r="D69" s="72">
        <v>449.55235494260518</v>
      </c>
      <c r="E69" s="72">
        <v>377.16086407589472</v>
      </c>
      <c r="F69" s="97">
        <v>454.27286367974631</v>
      </c>
      <c r="G69" s="48">
        <v>398.61287899103883</v>
      </c>
      <c r="H69" s="48">
        <v>394.80223717701813</v>
      </c>
      <c r="I69" s="106">
        <f t="shared" si="0"/>
        <v>-9.5597558806080896E-3</v>
      </c>
    </row>
    <row r="70" spans="1:9" ht="14.4" x14ac:dyDescent="0.3">
      <c r="A70" s="68" t="s">
        <v>57</v>
      </c>
      <c r="B70" s="69">
        <v>76.415453729533837</v>
      </c>
      <c r="C70" s="69">
        <v>186.21619131466596</v>
      </c>
      <c r="D70" s="69">
        <v>212.12454408689493</v>
      </c>
      <c r="E70" s="69">
        <v>152.14062420159513</v>
      </c>
      <c r="F70" s="96">
        <v>187.7101224490917</v>
      </c>
      <c r="G70" s="48">
        <v>137.86284517073096</v>
      </c>
      <c r="H70" s="48">
        <v>137.38350362965468</v>
      </c>
      <c r="I70" s="106">
        <f t="shared" si="0"/>
        <v>-3.4769450788764145E-3</v>
      </c>
    </row>
    <row r="71" spans="1:9" ht="14.4" x14ac:dyDescent="0.3">
      <c r="A71" s="71" t="s">
        <v>58</v>
      </c>
      <c r="B71" s="72">
        <v>83.117393893967716</v>
      </c>
      <c r="C71" s="72">
        <v>129.37618156709854</v>
      </c>
      <c r="D71" s="72">
        <v>482.12164704090128</v>
      </c>
      <c r="E71" s="72">
        <v>395.13333763596808</v>
      </c>
      <c r="F71" s="97">
        <v>477.69851266437917</v>
      </c>
      <c r="G71" s="48">
        <v>508.96420236083043</v>
      </c>
      <c r="H71" s="48">
        <v>508.96420236083043</v>
      </c>
      <c r="I71" s="106">
        <f t="shared" si="0"/>
        <v>0</v>
      </c>
    </row>
    <row r="72" spans="1:9" ht="14.4" x14ac:dyDescent="0.3">
      <c r="A72" s="68" t="s">
        <v>59</v>
      </c>
      <c r="B72" s="69">
        <v>10.135999999999997</v>
      </c>
      <c r="C72" s="69">
        <v>15.777166666666666</v>
      </c>
      <c r="D72" s="69">
        <v>48.641250000000021</v>
      </c>
      <c r="E72" s="69">
        <v>39.865000000000002</v>
      </c>
      <c r="F72" s="96">
        <v>48.194999999999993</v>
      </c>
      <c r="G72" s="49">
        <v>66.314166666666665</v>
      </c>
      <c r="H72" s="49">
        <v>66.314166666666665</v>
      </c>
      <c r="I72" s="107">
        <f t="shared" si="0"/>
        <v>0</v>
      </c>
    </row>
    <row r="73" spans="1:9" ht="15" x14ac:dyDescent="0.3">
      <c r="A73" s="81" t="s">
        <v>60</v>
      </c>
      <c r="B73" s="82">
        <v>4940.3258182570617</v>
      </c>
      <c r="C73" s="82">
        <v>7306.7797144995902</v>
      </c>
      <c r="D73" s="82">
        <v>7962.6656135756984</v>
      </c>
      <c r="E73" s="82">
        <v>7031.7642449482792</v>
      </c>
      <c r="F73" s="100">
        <v>7471.6047178067201</v>
      </c>
      <c r="G73" s="46">
        <v>7477.3229144369889</v>
      </c>
      <c r="H73" s="46">
        <v>7448.6960285138011</v>
      </c>
      <c r="I73" s="104">
        <f t="shared" si="0"/>
        <v>-3.8284940012308644E-3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58</v>
      </c>
      <c r="C75" s="86">
        <v>58</v>
      </c>
      <c r="D75" s="86">
        <v>48</v>
      </c>
      <c r="E75" s="86">
        <v>48</v>
      </c>
      <c r="F75" s="86">
        <v>48</v>
      </c>
      <c r="G75" s="108">
        <v>48</v>
      </c>
      <c r="H75" s="108">
        <v>48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>
      <c r="A82" s="93"/>
      <c r="B82" s="93"/>
      <c r="C82" s="93"/>
      <c r="D82" s="93"/>
      <c r="E82" s="93"/>
      <c r="F82" s="93"/>
      <c r="G82" s="93"/>
      <c r="H82" s="93"/>
      <c r="I82" s="93"/>
    </row>
    <row r="83" spans="1:9" ht="14.7" hidden="1" customHeight="1" x14ac:dyDescent="0.3">
      <c r="A83" s="93"/>
      <c r="B83" s="93"/>
      <c r="C83" s="93"/>
      <c r="D83" s="93"/>
      <c r="E83" s="93"/>
      <c r="F83" s="93"/>
      <c r="G83" s="93"/>
      <c r="H83" s="93"/>
      <c r="I83" s="93"/>
    </row>
    <row r="84" spans="1:9" ht="12" hidden="1" customHeight="1" x14ac:dyDescent="0.3">
      <c r="A84" s="125"/>
      <c r="B84" s="125"/>
      <c r="C84" s="125"/>
      <c r="D84" s="125"/>
      <c r="E84" s="125"/>
      <c r="F84" s="125"/>
      <c r="G84" s="125"/>
    </row>
  </sheetData>
  <mergeCells count="5">
    <mergeCell ref="A2:I2"/>
    <mergeCell ref="A3:I3"/>
    <mergeCell ref="A4:I4"/>
    <mergeCell ref="A80:I80"/>
    <mergeCell ref="A84:G84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9DEE-CCC5-4B7D-AA7C-B15D0BBB8113}">
  <dimension ref="A1:T84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118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3048.7100535319373</v>
      </c>
      <c r="C9" s="64">
        <v>5045.4359298105346</v>
      </c>
      <c r="D9" s="63">
        <v>3990.8976676433681</v>
      </c>
      <c r="E9" s="63">
        <v>3744.7228209734662</v>
      </c>
      <c r="F9" s="99">
        <v>3811.3284568407116</v>
      </c>
      <c r="G9" s="46">
        <v>3772.8896439626078</v>
      </c>
      <c r="H9" s="46">
        <v>3786.6597134920926</v>
      </c>
      <c r="I9" s="104">
        <f>IFERROR(H9/G9-1,"-")</f>
        <v>3.6497408694473599E-3</v>
      </c>
    </row>
    <row r="10" spans="1:9" ht="15" x14ac:dyDescent="0.3">
      <c r="A10" s="65" t="s">
        <v>3</v>
      </c>
      <c r="B10" s="66">
        <v>490.54347359083272</v>
      </c>
      <c r="C10" s="66">
        <v>837.4254799970704</v>
      </c>
      <c r="D10" s="66">
        <v>637.52092791906921</v>
      </c>
      <c r="E10" s="66">
        <v>573.49577127447003</v>
      </c>
      <c r="F10" s="95">
        <v>640.11920681875438</v>
      </c>
      <c r="G10" s="47">
        <v>497.20867509397198</v>
      </c>
      <c r="H10" s="47">
        <v>502.52968393800586</v>
      </c>
      <c r="I10" s="105">
        <f t="shared" ref="I10:I73" si="0">IFERROR(H10/G10-1,"-")</f>
        <v>1.0701761876999116E-2</v>
      </c>
    </row>
    <row r="11" spans="1:9" ht="14.4" x14ac:dyDescent="0.3">
      <c r="A11" s="68" t="s">
        <v>4</v>
      </c>
      <c r="B11" s="69">
        <v>462.98139384083271</v>
      </c>
      <c r="C11" s="69">
        <v>795.99517616398998</v>
      </c>
      <c r="D11" s="69">
        <v>589.97547189937711</v>
      </c>
      <c r="E11" s="69">
        <v>573.49577127447003</v>
      </c>
      <c r="F11" s="96">
        <v>601.1529321260598</v>
      </c>
      <c r="G11" s="48">
        <v>497.20867509397198</v>
      </c>
      <c r="H11" s="48">
        <v>502.52968393800586</v>
      </c>
      <c r="I11" s="106">
        <f t="shared" si="0"/>
        <v>1.0701761876999116E-2</v>
      </c>
    </row>
    <row r="12" spans="1:9" ht="14.4" x14ac:dyDescent="0.3">
      <c r="A12" s="71" t="s">
        <v>5</v>
      </c>
      <c r="B12" s="72">
        <v>27.562079750000006</v>
      </c>
      <c r="C12" s="72">
        <v>41.43030383308038</v>
      </c>
      <c r="D12" s="72">
        <v>47.545456019692146</v>
      </c>
      <c r="E12" s="72">
        <v>0</v>
      </c>
      <c r="F12" s="97">
        <v>38.966274692694597</v>
      </c>
      <c r="G12" s="48">
        <v>0</v>
      </c>
      <c r="H12" s="48">
        <v>0</v>
      </c>
      <c r="I12" s="106" t="str">
        <f t="shared" si="0"/>
        <v>-</v>
      </c>
    </row>
    <row r="13" spans="1:9" ht="15" x14ac:dyDescent="0.3">
      <c r="A13" s="74" t="s">
        <v>6</v>
      </c>
      <c r="B13" s="75">
        <v>1125.2184075671596</v>
      </c>
      <c r="C13" s="75">
        <v>2391.017619712818</v>
      </c>
      <c r="D13" s="75">
        <v>1639.2730274861137</v>
      </c>
      <c r="E13" s="75">
        <v>1550.9587309315311</v>
      </c>
      <c r="F13" s="98">
        <v>1420.1471900497756</v>
      </c>
      <c r="G13" s="47">
        <v>1708.4650073399071</v>
      </c>
      <c r="H13" s="47">
        <v>1717.4870032392469</v>
      </c>
      <c r="I13" s="105">
        <f t="shared" si="0"/>
        <v>5.2807613036143231E-3</v>
      </c>
    </row>
    <row r="14" spans="1:9" ht="14.4" x14ac:dyDescent="0.3">
      <c r="A14" s="71" t="s">
        <v>7</v>
      </c>
      <c r="B14" s="72">
        <v>76.380822097827959</v>
      </c>
      <c r="C14" s="72">
        <v>115.24169463361046</v>
      </c>
      <c r="D14" s="72">
        <v>76.035702932504606</v>
      </c>
      <c r="E14" s="72">
        <v>197.29350078430841</v>
      </c>
      <c r="F14" s="97">
        <v>119.66586894965371</v>
      </c>
      <c r="G14" s="48">
        <v>235.63856478379446</v>
      </c>
      <c r="H14" s="48">
        <v>235.54433424537609</v>
      </c>
      <c r="I14" s="106">
        <f t="shared" si="0"/>
        <v>-3.9989438275878086E-4</v>
      </c>
    </row>
    <row r="15" spans="1:9" ht="14.4" x14ac:dyDescent="0.3">
      <c r="A15" s="68" t="s">
        <v>8</v>
      </c>
      <c r="B15" s="69">
        <v>992.68301047541934</v>
      </c>
      <c r="C15" s="69">
        <v>2206.2599705434732</v>
      </c>
      <c r="D15" s="69">
        <v>1504.2831744355465</v>
      </c>
      <c r="E15" s="69">
        <v>1255.6559460192072</v>
      </c>
      <c r="F15" s="96">
        <v>1299.5188215835456</v>
      </c>
      <c r="G15" s="48">
        <v>1368.0398444408133</v>
      </c>
      <c r="H15" s="48">
        <v>1376.2513510076401</v>
      </c>
      <c r="I15" s="106">
        <f t="shared" si="0"/>
        <v>6.0023884539586181E-3</v>
      </c>
    </row>
    <row r="16" spans="1:9" ht="14.4" x14ac:dyDescent="0.3">
      <c r="A16" s="71" t="s">
        <v>9</v>
      </c>
      <c r="B16" s="72">
        <v>56.154574993912334</v>
      </c>
      <c r="C16" s="72">
        <v>69.515954535734025</v>
      </c>
      <c r="D16" s="72">
        <v>58.954150118062728</v>
      </c>
      <c r="E16" s="72">
        <v>98.009284128015523</v>
      </c>
      <c r="F16" s="97">
        <v>0.96249951657628252</v>
      </c>
      <c r="G16" s="48">
        <v>104.78659811529934</v>
      </c>
      <c r="H16" s="48">
        <v>105.69131798623064</v>
      </c>
      <c r="I16" s="106">
        <f t="shared" si="0"/>
        <v>8.633927307534206E-3</v>
      </c>
    </row>
    <row r="17" spans="1:9" ht="15" x14ac:dyDescent="0.3">
      <c r="A17" s="74" t="s">
        <v>10</v>
      </c>
      <c r="B17" s="75">
        <v>1255.5161221415638</v>
      </c>
      <c r="C17" s="75">
        <v>1586.8163947149524</v>
      </c>
      <c r="D17" s="75">
        <v>1447.4627305686372</v>
      </c>
      <c r="E17" s="75">
        <v>1198.4204326534841</v>
      </c>
      <c r="F17" s="98">
        <v>1126.3329682370872</v>
      </c>
      <c r="G17" s="47">
        <v>986.98793321442383</v>
      </c>
      <c r="H17" s="47">
        <v>984.1256708718729</v>
      </c>
      <c r="I17" s="105">
        <f t="shared" si="0"/>
        <v>-2.8999973011110125E-3</v>
      </c>
    </row>
    <row r="18" spans="1:9" ht="14.4" x14ac:dyDescent="0.3">
      <c r="A18" s="71" t="s">
        <v>11</v>
      </c>
      <c r="B18" s="72">
        <v>371.63468360811123</v>
      </c>
      <c r="C18" s="72">
        <v>437.67370003050598</v>
      </c>
      <c r="D18" s="72">
        <v>339.18777585363972</v>
      </c>
      <c r="E18" s="72">
        <v>476.90254587532206</v>
      </c>
      <c r="F18" s="97">
        <v>591.98790539998117</v>
      </c>
      <c r="G18" s="48">
        <v>410.12084204590553</v>
      </c>
      <c r="H18" s="48">
        <v>407.31162415947875</v>
      </c>
      <c r="I18" s="106">
        <f t="shared" si="0"/>
        <v>-6.849732075094872E-3</v>
      </c>
    </row>
    <row r="19" spans="1:9" ht="14.4" x14ac:dyDescent="0.3">
      <c r="A19" s="68" t="s">
        <v>12</v>
      </c>
      <c r="B19" s="69">
        <v>228.78029189586528</v>
      </c>
      <c r="C19" s="69">
        <v>367.94478910549526</v>
      </c>
      <c r="D19" s="69">
        <v>343.66415165721037</v>
      </c>
      <c r="E19" s="69">
        <v>221.48652876257796</v>
      </c>
      <c r="F19" s="96">
        <v>156.69253721810998</v>
      </c>
      <c r="G19" s="48">
        <v>174.26543610806635</v>
      </c>
      <c r="H19" s="48">
        <v>174.84118225480975</v>
      </c>
      <c r="I19" s="106">
        <f t="shared" si="0"/>
        <v>3.3038459008380983E-3</v>
      </c>
    </row>
    <row r="20" spans="1:9" ht="14.4" x14ac:dyDescent="0.3">
      <c r="A20" s="71" t="s">
        <v>13</v>
      </c>
      <c r="B20" s="72">
        <v>557.45937051911415</v>
      </c>
      <c r="C20" s="72">
        <v>669.71900070097081</v>
      </c>
      <c r="D20" s="72">
        <v>520.89410625198366</v>
      </c>
      <c r="E20" s="72">
        <v>391.25291152963155</v>
      </c>
      <c r="F20" s="97">
        <v>266.93907406143433</v>
      </c>
      <c r="G20" s="48">
        <v>321.31508761211205</v>
      </c>
      <c r="H20" s="48">
        <v>320.32548661997839</v>
      </c>
      <c r="I20" s="106">
        <f t="shared" si="0"/>
        <v>-3.0798460149754625E-3</v>
      </c>
    </row>
    <row r="21" spans="1:9" ht="14.4" x14ac:dyDescent="0.3">
      <c r="A21" s="68" t="s">
        <v>14</v>
      </c>
      <c r="B21" s="69">
        <v>97.641776118472976</v>
      </c>
      <c r="C21" s="69">
        <v>111.47890487798043</v>
      </c>
      <c r="D21" s="69">
        <v>243.71669680580342</v>
      </c>
      <c r="E21" s="69">
        <v>108.77844648595266</v>
      </c>
      <c r="F21" s="96">
        <v>110.71345155756188</v>
      </c>
      <c r="G21" s="48">
        <v>81.286567448339866</v>
      </c>
      <c r="H21" s="48">
        <v>81.647377837606001</v>
      </c>
      <c r="I21" s="106">
        <f t="shared" si="0"/>
        <v>4.4387455466790016E-3</v>
      </c>
    </row>
    <row r="22" spans="1:9" ht="15" x14ac:dyDescent="0.3">
      <c r="A22" s="74" t="s">
        <v>129</v>
      </c>
      <c r="B22" s="75">
        <v>102.44431049800659</v>
      </c>
      <c r="C22" s="75">
        <v>154.24786235513744</v>
      </c>
      <c r="D22" s="75">
        <v>151.84004784352658</v>
      </c>
      <c r="E22" s="75">
        <v>212.61899633349438</v>
      </c>
      <c r="F22" s="112">
        <v>244.01504957479068</v>
      </c>
      <c r="G22" s="47">
        <v>249.1663660334483</v>
      </c>
      <c r="H22" s="47">
        <v>251.42907126726209</v>
      </c>
      <c r="I22" s="105">
        <f t="shared" si="0"/>
        <v>9.0811021962331484E-3</v>
      </c>
    </row>
    <row r="23" spans="1:9" ht="14.4" x14ac:dyDescent="0.3">
      <c r="A23" s="71" t="s">
        <v>15</v>
      </c>
      <c r="B23" s="72">
        <v>8.7957456987444207</v>
      </c>
      <c r="C23" s="72">
        <v>13.243536563966835</v>
      </c>
      <c r="D23" s="72">
        <v>12.914438002908271</v>
      </c>
      <c r="E23" s="72">
        <v>37.812409568226862</v>
      </c>
      <c r="F23" s="113">
        <v>34.045553432507091</v>
      </c>
      <c r="G23" s="48">
        <v>37.926203835283133</v>
      </c>
      <c r="H23" s="48">
        <v>38.270615568226503</v>
      </c>
      <c r="I23" s="106">
        <f>IFERROR(H23/G23-1,"-")</f>
        <v>9.0811021962329264E-3</v>
      </c>
    </row>
    <row r="24" spans="1:9" ht="15" x14ac:dyDescent="0.3">
      <c r="A24" s="68" t="s">
        <v>16</v>
      </c>
      <c r="B24" s="69">
        <v>20.081172102864581</v>
      </c>
      <c r="C24" s="69">
        <v>30.235723735119048</v>
      </c>
      <c r="D24" s="69">
        <v>29.484373585879808</v>
      </c>
      <c r="E24" s="69">
        <v>57.531228868527045</v>
      </c>
      <c r="F24" s="112">
        <v>64.819476626711122</v>
      </c>
      <c r="G24" s="48">
        <v>63.08993907837575</v>
      </c>
      <c r="H24" s="48">
        <v>63.662865262700599</v>
      </c>
      <c r="I24" s="106">
        <f t="shared" si="0"/>
        <v>9.0811021962331484E-3</v>
      </c>
    </row>
    <row r="25" spans="1:9" ht="14.4" x14ac:dyDescent="0.3">
      <c r="A25" s="71" t="s">
        <v>17</v>
      </c>
      <c r="B25" s="72">
        <v>18.278727977430556</v>
      </c>
      <c r="C25" s="72">
        <v>27.521828234126986</v>
      </c>
      <c r="D25" s="72">
        <v>28.263123877227674</v>
      </c>
      <c r="E25" s="72">
        <v>29.072497758295501</v>
      </c>
      <c r="F25" s="113">
        <v>40.272837784667509</v>
      </c>
      <c r="G25" s="48">
        <v>34.298479990169092</v>
      </c>
      <c r="H25" s="48">
        <v>34.609947992135275</v>
      </c>
      <c r="I25" s="106">
        <f t="shared" si="0"/>
        <v>9.0811021962331484E-3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55.288664718967027</v>
      </c>
      <c r="C27" s="72">
        <v>83.246773821924592</v>
      </c>
      <c r="D27" s="72">
        <v>81.178112377510814</v>
      </c>
      <c r="E27" s="72">
        <v>88.202860138444976</v>
      </c>
      <c r="F27" s="113">
        <v>104.87718173090498</v>
      </c>
      <c r="G27" s="48">
        <v>113.85174312962035</v>
      </c>
      <c r="H27" s="48">
        <v>114.88564244419972</v>
      </c>
      <c r="I27" s="106">
        <f t="shared" si="0"/>
        <v>9.0811021962331484E-3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74.987739734374983</v>
      </c>
      <c r="C31" s="66">
        <v>75.928573030555569</v>
      </c>
      <c r="D31" s="66">
        <v>114.80093382602151</v>
      </c>
      <c r="E31" s="66">
        <v>209.2288897804865</v>
      </c>
      <c r="F31" s="95">
        <v>380.71404216030339</v>
      </c>
      <c r="G31" s="47">
        <v>331.06166228085658</v>
      </c>
      <c r="H31" s="47">
        <v>331.0882841757051</v>
      </c>
      <c r="I31" s="105">
        <f t="shared" si="0"/>
        <v>8.0413705003223868E-5</v>
      </c>
    </row>
    <row r="32" spans="1:9" ht="14.4" x14ac:dyDescent="0.3">
      <c r="A32" s="68" t="s">
        <v>21</v>
      </c>
      <c r="B32" s="69">
        <v>64.312392512152755</v>
      </c>
      <c r="C32" s="69">
        <v>65.25322580833334</v>
      </c>
      <c r="D32" s="69">
        <v>85.284006438838347</v>
      </c>
      <c r="E32" s="69">
        <v>177.57362357678278</v>
      </c>
      <c r="F32" s="96">
        <v>327.16005248774854</v>
      </c>
      <c r="G32" s="48">
        <v>286.2404095732968</v>
      </c>
      <c r="H32" s="48">
        <v>286.26703146814532</v>
      </c>
      <c r="I32" s="106">
        <f t="shared" si="0"/>
        <v>9.3005368767551388E-5</v>
      </c>
    </row>
    <row r="33" spans="1:20" ht="14.4" x14ac:dyDescent="0.3">
      <c r="A33" s="71" t="s">
        <v>22</v>
      </c>
      <c r="B33" s="72">
        <v>10.675347222222223</v>
      </c>
      <c r="C33" s="72">
        <v>10.675347222222223</v>
      </c>
      <c r="D33" s="72">
        <v>29.516927387183163</v>
      </c>
      <c r="E33" s="72">
        <v>31.655266203703714</v>
      </c>
      <c r="F33" s="97">
        <v>53.553989672554827</v>
      </c>
      <c r="G33" s="48">
        <v>44.821252707559751</v>
      </c>
      <c r="H33" s="48">
        <v>44.821252707559751</v>
      </c>
      <c r="I33" s="106">
        <f t="shared" si="0"/>
        <v>0</v>
      </c>
    </row>
    <row r="34" spans="1:20" ht="15" x14ac:dyDescent="0.3">
      <c r="A34" s="74" t="s">
        <v>23</v>
      </c>
      <c r="B34" s="75">
        <v>103.78820892416228</v>
      </c>
      <c r="C34" s="75">
        <v>103.78820892416228</v>
      </c>
      <c r="D34" s="75">
        <v>144.76392955728906</v>
      </c>
      <c r="E34" s="75">
        <v>314.26340555555555</v>
      </c>
      <c r="F34" s="98">
        <v>357.66960185185195</v>
      </c>
      <c r="G34" s="47">
        <v>415.33341571319608</v>
      </c>
      <c r="H34" s="47">
        <v>415.33341571319608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100.29445892416227</v>
      </c>
      <c r="C35" s="72">
        <v>100.29445892416227</v>
      </c>
      <c r="D35" s="72">
        <v>140.57742757375738</v>
      </c>
      <c r="E35" s="72">
        <v>309.86632222222221</v>
      </c>
      <c r="F35" s="97">
        <v>352.5028101851853</v>
      </c>
      <c r="G35" s="48">
        <v>410.4404990465294</v>
      </c>
      <c r="H35" s="48">
        <v>410.4404990465294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3.493749999999999</v>
      </c>
      <c r="C36" s="69">
        <v>3.493749999999999</v>
      </c>
      <c r="D36" s="69">
        <v>4.186501983531687</v>
      </c>
      <c r="E36" s="69">
        <v>4.3970833333333337</v>
      </c>
      <c r="F36" s="96">
        <v>5.1667916666666676</v>
      </c>
      <c r="G36" s="48">
        <v>4.8929166666666664</v>
      </c>
      <c r="H36" s="48">
        <v>4.8929166666666664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166.35634047016126</v>
      </c>
      <c r="C37" s="66">
        <v>191.10296575071686</v>
      </c>
      <c r="D37" s="66">
        <v>192.8921600494119</v>
      </c>
      <c r="E37" s="66">
        <v>242.40485026335159</v>
      </c>
      <c r="F37" s="95">
        <v>245.38423796370341</v>
      </c>
      <c r="G37" s="47">
        <v>283.38277692072512</v>
      </c>
      <c r="H37" s="47">
        <v>283.44347842072511</v>
      </c>
      <c r="I37" s="105">
        <f t="shared" si="0"/>
        <v>2.1420320832343798E-4</v>
      </c>
    </row>
    <row r="38" spans="1:20" ht="14.4" x14ac:dyDescent="0.3">
      <c r="A38" s="68" t="s">
        <v>27</v>
      </c>
      <c r="B38" s="69">
        <v>13.307544791666665</v>
      </c>
      <c r="C38" s="69">
        <v>13.474507222222224</v>
      </c>
      <c r="D38" s="69">
        <v>20.372874092964857</v>
      </c>
      <c r="E38" s="69">
        <v>39.546039967351078</v>
      </c>
      <c r="F38" s="96">
        <v>60.689189213102907</v>
      </c>
      <c r="G38" s="48">
        <v>62.013446900407814</v>
      </c>
      <c r="H38" s="48">
        <v>62.067710900407818</v>
      </c>
      <c r="I38" s="106">
        <f t="shared" si="0"/>
        <v>8.7503602383454115E-4</v>
      </c>
    </row>
    <row r="39" spans="1:20" ht="14.4" x14ac:dyDescent="0.3">
      <c r="A39" s="71" t="s">
        <v>28</v>
      </c>
      <c r="B39" s="72">
        <v>66.291329999999988</v>
      </c>
      <c r="C39" s="72">
        <v>77.91292</v>
      </c>
      <c r="D39" s="72">
        <v>76.852765500000004</v>
      </c>
      <c r="E39" s="72">
        <v>90.957750000000019</v>
      </c>
      <c r="F39" s="97">
        <v>81.696719999999999</v>
      </c>
      <c r="G39" s="48">
        <v>99.343920000000026</v>
      </c>
      <c r="H39" s="48">
        <v>99.343920000000026</v>
      </c>
      <c r="I39" s="106">
        <f t="shared" si="0"/>
        <v>0</v>
      </c>
    </row>
    <row r="40" spans="1:20" ht="14.4" x14ac:dyDescent="0.3">
      <c r="A40" s="68" t="s">
        <v>29</v>
      </c>
      <c r="B40" s="69">
        <v>66.291329999999988</v>
      </c>
      <c r="C40" s="69">
        <v>77.91292</v>
      </c>
      <c r="D40" s="69">
        <v>76.852765500000004</v>
      </c>
      <c r="E40" s="69">
        <v>90.957750000000019</v>
      </c>
      <c r="F40" s="96">
        <v>81.696719999999999</v>
      </c>
      <c r="G40" s="48">
        <v>99.343920000000026</v>
      </c>
      <c r="H40" s="48">
        <v>99.343920000000026</v>
      </c>
      <c r="I40" s="106">
        <f t="shared" si="0"/>
        <v>0</v>
      </c>
    </row>
    <row r="41" spans="1:20" ht="14.4" x14ac:dyDescent="0.3">
      <c r="A41" s="71" t="s">
        <v>30</v>
      </c>
      <c r="B41" s="72">
        <v>5.9742993951612897</v>
      </c>
      <c r="C41" s="72">
        <v>5.9742993951612897</v>
      </c>
      <c r="D41" s="72">
        <v>4.7022429128792984</v>
      </c>
      <c r="E41" s="72">
        <v>4.4415023793337864</v>
      </c>
      <c r="F41" s="97">
        <v>4.8856526172671675</v>
      </c>
      <c r="G41" s="48">
        <v>4.5720433869839052</v>
      </c>
      <c r="H41" s="48">
        <v>4.5720433869839052</v>
      </c>
      <c r="I41" s="106">
        <f t="shared" si="0"/>
        <v>0</v>
      </c>
    </row>
    <row r="42" spans="1:20" ht="14.4" x14ac:dyDescent="0.3">
      <c r="A42" s="68" t="s">
        <v>31</v>
      </c>
      <c r="B42" s="69">
        <v>7.6235029499999998</v>
      </c>
      <c r="C42" s="69">
        <v>8.9599858000000001</v>
      </c>
      <c r="D42" s="69">
        <v>8.8380680325000025</v>
      </c>
      <c r="E42" s="69">
        <v>10.46014125</v>
      </c>
      <c r="F42" s="96">
        <v>9.3951228000000011</v>
      </c>
      <c r="G42" s="48">
        <v>11.4245508</v>
      </c>
      <c r="H42" s="48">
        <v>11.4245508</v>
      </c>
      <c r="I42" s="106">
        <f t="shared" si="0"/>
        <v>0</v>
      </c>
    </row>
    <row r="43" spans="1:20" ht="14.4" x14ac:dyDescent="0.3">
      <c r="A43" s="71" t="s">
        <v>32</v>
      </c>
      <c r="B43" s="72">
        <v>6.868333333333335</v>
      </c>
      <c r="C43" s="72">
        <v>6.868333333333335</v>
      </c>
      <c r="D43" s="72">
        <v>5.2734440110677747</v>
      </c>
      <c r="E43" s="72">
        <v>6.041666666666667</v>
      </c>
      <c r="F43" s="97">
        <v>7.020833333333333</v>
      </c>
      <c r="G43" s="48">
        <v>6.6848958333333339</v>
      </c>
      <c r="H43" s="48">
        <v>6.6913333333333345</v>
      </c>
      <c r="I43" s="106">
        <f t="shared" si="0"/>
        <v>9.6299181924441868E-4</v>
      </c>
    </row>
    <row r="44" spans="1:20" ht="15" x14ac:dyDescent="0.3">
      <c r="A44" s="74" t="s">
        <v>33</v>
      </c>
      <c r="B44" s="75">
        <v>275.32751201619129</v>
      </c>
      <c r="C44" s="75">
        <v>405.00047812301062</v>
      </c>
      <c r="D44" s="75">
        <v>394.10741207395108</v>
      </c>
      <c r="E44" s="75">
        <v>352.11073362849805</v>
      </c>
      <c r="F44" s="98">
        <v>374.92881999237255</v>
      </c>
      <c r="G44" s="47">
        <v>469.6902162207686</v>
      </c>
      <c r="H44" s="47">
        <v>470.42032140319282</v>
      </c>
      <c r="I44" s="105">
        <f t="shared" si="0"/>
        <v>1.5544398354703226E-3</v>
      </c>
    </row>
    <row r="45" spans="1:20" ht="14.4" x14ac:dyDescent="0.3">
      <c r="A45" s="71" t="s">
        <v>34</v>
      </c>
      <c r="B45" s="72">
        <v>234.4013717060935</v>
      </c>
      <c r="C45" s="72">
        <v>352.52326622860892</v>
      </c>
      <c r="D45" s="72">
        <v>350.38294753445831</v>
      </c>
      <c r="E45" s="72">
        <v>312.82739578052184</v>
      </c>
      <c r="F45" s="97">
        <v>328.41249803170803</v>
      </c>
      <c r="G45" s="48">
        <v>371.4070385550412</v>
      </c>
      <c r="H45" s="48">
        <v>372.04467555798556</v>
      </c>
      <c r="I45" s="106">
        <f t="shared" si="0"/>
        <v>1.7168145370241028E-3</v>
      </c>
    </row>
    <row r="46" spans="1:20" ht="14.4" x14ac:dyDescent="0.3">
      <c r="A46" s="68" t="s">
        <v>35</v>
      </c>
      <c r="B46" s="69">
        <v>22.921974245172894</v>
      </c>
      <c r="C46" s="69">
        <v>34.473045829476796</v>
      </c>
      <c r="D46" s="69">
        <v>20.058280531274718</v>
      </c>
      <c r="E46" s="69">
        <v>9.2718519118133624</v>
      </c>
      <c r="F46" s="96">
        <v>9.3165054260986402</v>
      </c>
      <c r="G46" s="48">
        <v>53.860319496208483</v>
      </c>
      <c r="H46" s="48">
        <v>53.952787675688342</v>
      </c>
      <c r="I46" s="106">
        <f t="shared" si="0"/>
        <v>1.7168145370241028E-3</v>
      </c>
    </row>
    <row r="47" spans="1:20" ht="14.4" x14ac:dyDescent="0.3">
      <c r="A47" s="71" t="s">
        <v>36</v>
      </c>
      <c r="B47" s="72">
        <v>18.004166064924881</v>
      </c>
      <c r="C47" s="72">
        <v>18.004166064924881</v>
      </c>
      <c r="D47" s="72">
        <v>23.666184008218085</v>
      </c>
      <c r="E47" s="72">
        <v>30.011485936162824</v>
      </c>
      <c r="F47" s="97">
        <v>37.199816534565905</v>
      </c>
      <c r="G47" s="48">
        <v>44.422858169518932</v>
      </c>
      <c r="H47" s="48">
        <v>44.422858169518932</v>
      </c>
      <c r="I47" s="106">
        <f t="shared" si="0"/>
        <v>0</v>
      </c>
    </row>
    <row r="48" spans="1:20" ht="15" x14ac:dyDescent="0.3">
      <c r="A48" s="74" t="s">
        <v>37</v>
      </c>
      <c r="B48" s="75">
        <v>152.51999999999998</v>
      </c>
      <c r="C48" s="75">
        <v>152.51999999999998</v>
      </c>
      <c r="D48" s="75">
        <v>140.95800000000003</v>
      </c>
      <c r="E48" s="75">
        <v>187.2</v>
      </c>
      <c r="F48" s="98">
        <v>193.76</v>
      </c>
      <c r="G48" s="47">
        <v>210.8</v>
      </c>
      <c r="H48" s="47">
        <v>210.8</v>
      </c>
      <c r="I48" s="105">
        <f t="shared" si="0"/>
        <v>0</v>
      </c>
    </row>
    <row r="49" spans="1:9" ht="14.4" x14ac:dyDescent="0.3">
      <c r="A49" s="71" t="s">
        <v>62</v>
      </c>
      <c r="B49" s="72">
        <v>41.663999999999994</v>
      </c>
      <c r="C49" s="72">
        <v>41.663999999999994</v>
      </c>
      <c r="D49" s="72">
        <v>38.505600000000008</v>
      </c>
      <c r="E49" s="72">
        <v>43.68</v>
      </c>
      <c r="F49" s="97">
        <v>37.631999999999998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17.855999999999998</v>
      </c>
      <c r="C50" s="69">
        <v>17.855999999999998</v>
      </c>
      <c r="D50" s="69">
        <v>16.502400000000002</v>
      </c>
      <c r="E50" s="69">
        <v>18.720000000000002</v>
      </c>
      <c r="F50" s="96">
        <v>16.127999999999997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93</v>
      </c>
      <c r="C51" s="72">
        <v>93</v>
      </c>
      <c r="D51" s="72">
        <v>85.950000000000031</v>
      </c>
      <c r="E51" s="72">
        <v>124.79999999999997</v>
      </c>
      <c r="F51" s="97">
        <v>140</v>
      </c>
      <c r="G51" s="48">
        <v>210.8</v>
      </c>
      <c r="H51" s="48">
        <v>210.8</v>
      </c>
      <c r="I51" s="106">
        <f t="shared" si="0"/>
        <v>0</v>
      </c>
    </row>
    <row r="52" spans="1:9" ht="15" x14ac:dyDescent="0.3">
      <c r="A52" s="74" t="s">
        <v>40</v>
      </c>
      <c r="B52" s="75">
        <v>128.02422317561349</v>
      </c>
      <c r="C52" s="75">
        <v>152.04184154143113</v>
      </c>
      <c r="D52" s="75">
        <v>204.97782577515022</v>
      </c>
      <c r="E52" s="75">
        <v>140.78330084143363</v>
      </c>
      <c r="F52" s="98">
        <v>116.0396325318296</v>
      </c>
      <c r="G52" s="47">
        <v>148.97658688692695</v>
      </c>
      <c r="H52" s="47">
        <v>149.65500252464329</v>
      </c>
      <c r="I52" s="105">
        <f t="shared" si="0"/>
        <v>4.553840653036767E-3</v>
      </c>
    </row>
    <row r="53" spans="1:9" ht="14.4" x14ac:dyDescent="0.3">
      <c r="A53" s="71" t="s">
        <v>41</v>
      </c>
      <c r="B53" s="72">
        <v>60.087085511767988</v>
      </c>
      <c r="C53" s="72">
        <v>72.463869202641447</v>
      </c>
      <c r="D53" s="72">
        <v>56.524398304787645</v>
      </c>
      <c r="E53" s="72">
        <v>42.275693219227186</v>
      </c>
      <c r="F53" s="97">
        <v>11.198326778745008</v>
      </c>
      <c r="G53" s="48">
        <v>11.344553437553776</v>
      </c>
      <c r="H53" s="48">
        <v>11.364029931811416</v>
      </c>
      <c r="I53" s="106">
        <f t="shared" si="0"/>
        <v>1.7168145370241028E-3</v>
      </c>
    </row>
    <row r="54" spans="1:9" ht="14.4" x14ac:dyDescent="0.3">
      <c r="A54" s="68" t="s">
        <v>42</v>
      </c>
      <c r="B54" s="69">
        <v>23.19547099717882</v>
      </c>
      <c r="C54" s="69">
        <v>34.836305672123011</v>
      </c>
      <c r="D54" s="69">
        <v>26.382780868501552</v>
      </c>
      <c r="E54" s="69">
        <v>33.005107622206424</v>
      </c>
      <c r="F54" s="96">
        <v>37.500379756886183</v>
      </c>
      <c r="G54" s="48">
        <v>50.616929282706494</v>
      </c>
      <c r="H54" s="48">
        <v>51.057555926165193</v>
      </c>
      <c r="I54" s="106">
        <f t="shared" si="0"/>
        <v>8.7051239516664491E-3</v>
      </c>
    </row>
    <row r="55" spans="1:9" ht="14.4" x14ac:dyDescent="0.3">
      <c r="A55" s="71" t="s">
        <v>43</v>
      </c>
      <c r="B55" s="72">
        <v>44.741666666666667</v>
      </c>
      <c r="C55" s="72">
        <v>44.741666666666667</v>
      </c>
      <c r="D55" s="72">
        <v>122.07064660186104</v>
      </c>
      <c r="E55" s="72">
        <v>65.502500000000012</v>
      </c>
      <c r="F55" s="97">
        <v>67.340925996198408</v>
      </c>
      <c r="G55" s="48">
        <v>87.015104166666674</v>
      </c>
      <c r="H55" s="48">
        <v>87.23341666666667</v>
      </c>
      <c r="I55" s="106">
        <f t="shared" si="0"/>
        <v>2.5089035069341126E-3</v>
      </c>
    </row>
    <row r="56" spans="1:9" s="4" customFormat="1" ht="15" x14ac:dyDescent="0.3">
      <c r="A56" s="74" t="s">
        <v>44</v>
      </c>
      <c r="B56" s="75">
        <v>186.06902220508024</v>
      </c>
      <c r="C56" s="75">
        <v>207.79691708498353</v>
      </c>
      <c r="D56" s="75">
        <v>88.738086266601542</v>
      </c>
      <c r="E56" s="75">
        <v>130.98360968428744</v>
      </c>
      <c r="F56" s="98">
        <v>147.88599646909583</v>
      </c>
      <c r="G56" s="47">
        <v>143.46552727775827</v>
      </c>
      <c r="H56" s="47">
        <v>144.77271460996781</v>
      </c>
      <c r="I56" s="105">
        <f t="shared" si="0"/>
        <v>9.1115082278876436E-3</v>
      </c>
    </row>
    <row r="57" spans="1:9" ht="14.4" x14ac:dyDescent="0.3">
      <c r="A57" s="71" t="s">
        <v>45</v>
      </c>
      <c r="B57" s="72">
        <v>186.06902220508024</v>
      </c>
      <c r="C57" s="72">
        <v>207.79691708498353</v>
      </c>
      <c r="D57" s="72">
        <v>88.738086266601542</v>
      </c>
      <c r="E57" s="72">
        <v>130.98360968428744</v>
      </c>
      <c r="F57" s="97">
        <v>147.88599646909583</v>
      </c>
      <c r="G57" s="48">
        <v>143.46552727775827</v>
      </c>
      <c r="H57" s="48">
        <v>144.77271460996781</v>
      </c>
      <c r="I57" s="106">
        <f t="shared" si="0"/>
        <v>9.1115082278876436E-3</v>
      </c>
    </row>
    <row r="58" spans="1:9" ht="15" x14ac:dyDescent="0.3">
      <c r="A58" s="62" t="s">
        <v>46</v>
      </c>
      <c r="B58" s="63">
        <v>4060.7953603231454</v>
      </c>
      <c r="C58" s="63">
        <v>6257.6863412348403</v>
      </c>
      <c r="D58" s="63">
        <v>5157.3350813657726</v>
      </c>
      <c r="E58" s="63">
        <v>5112.4687209465919</v>
      </c>
      <c r="F58" s="99">
        <v>5246.9967456495651</v>
      </c>
      <c r="G58" s="46">
        <v>5444.5381669819826</v>
      </c>
      <c r="H58" s="46">
        <v>5461.0846461638175</v>
      </c>
      <c r="I58" s="104">
        <f t="shared" si="0"/>
        <v>3.039096921421125E-3</v>
      </c>
    </row>
    <row r="59" spans="1:9" ht="15" x14ac:dyDescent="0.3">
      <c r="A59" s="65" t="s">
        <v>47</v>
      </c>
      <c r="B59" s="66">
        <v>277.75211063701022</v>
      </c>
      <c r="C59" s="66">
        <v>277.75211063701022</v>
      </c>
      <c r="D59" s="66">
        <v>299.99674771319184</v>
      </c>
      <c r="E59" s="66">
        <v>392.19165884930192</v>
      </c>
      <c r="F59" s="95">
        <v>479.29816411679326</v>
      </c>
      <c r="G59" s="47">
        <v>570.04293348575982</v>
      </c>
      <c r="H59" s="47">
        <v>570.04293348575982</v>
      </c>
      <c r="I59" s="105">
        <f t="shared" si="0"/>
        <v>0</v>
      </c>
    </row>
    <row r="60" spans="1:9" ht="14.4" x14ac:dyDescent="0.3">
      <c r="A60" s="68" t="s">
        <v>48</v>
      </c>
      <c r="B60" s="69">
        <v>209.40499194636092</v>
      </c>
      <c r="C60" s="69">
        <v>209.40499194636092</v>
      </c>
      <c r="D60" s="69">
        <v>217.17307080403904</v>
      </c>
      <c r="E60" s="69">
        <v>258.75494119886389</v>
      </c>
      <c r="F60" s="96">
        <v>322.63386775880969</v>
      </c>
      <c r="G60" s="48">
        <v>390.18618883865435</v>
      </c>
      <c r="H60" s="48">
        <v>390.18618883865435</v>
      </c>
      <c r="I60" s="106">
        <f t="shared" si="0"/>
        <v>0</v>
      </c>
    </row>
    <row r="61" spans="1:9" ht="14.4" x14ac:dyDescent="0.3">
      <c r="A61" s="71" t="s">
        <v>49</v>
      </c>
      <c r="B61" s="72">
        <v>40.592118690649315</v>
      </c>
      <c r="C61" s="72">
        <v>40.592118690649315</v>
      </c>
      <c r="D61" s="72">
        <v>46.325693777506309</v>
      </c>
      <c r="E61" s="72">
        <v>95.948384317104697</v>
      </c>
      <c r="F61" s="97">
        <v>113.74046302465024</v>
      </c>
      <c r="G61" s="48">
        <v>133.63507798043881</v>
      </c>
      <c r="H61" s="48">
        <v>133.63507798043881</v>
      </c>
      <c r="I61" s="106">
        <f t="shared" si="0"/>
        <v>0</v>
      </c>
    </row>
    <row r="62" spans="1:9" ht="14.4" x14ac:dyDescent="0.3">
      <c r="A62" s="68" t="s">
        <v>50</v>
      </c>
      <c r="B62" s="69">
        <v>2.166666666666667</v>
      </c>
      <c r="C62" s="69">
        <v>2.166666666666667</v>
      </c>
      <c r="D62" s="69">
        <v>3.4836817015034849</v>
      </c>
      <c r="E62" s="69">
        <v>3.4833333333333338</v>
      </c>
      <c r="F62" s="96">
        <v>4.1983333333333324</v>
      </c>
      <c r="G62" s="48">
        <v>3.9833333333333334</v>
      </c>
      <c r="H62" s="48">
        <v>3.9833333333333334</v>
      </c>
      <c r="I62" s="106">
        <f t="shared" si="0"/>
        <v>0</v>
      </c>
    </row>
    <row r="63" spans="1:9" ht="14.4" x14ac:dyDescent="0.3">
      <c r="A63" s="71" t="s">
        <v>51</v>
      </c>
      <c r="B63" s="72">
        <v>11.613333333333332</v>
      </c>
      <c r="C63" s="72">
        <v>11.613333333333332</v>
      </c>
      <c r="D63" s="72">
        <v>16.268293496016273</v>
      </c>
      <c r="E63" s="72">
        <v>16.416666666666675</v>
      </c>
      <c r="F63" s="97">
        <v>18.058333333333334</v>
      </c>
      <c r="G63" s="48">
        <v>22.666666666666668</v>
      </c>
      <c r="H63" s="48">
        <v>22.666666666666668</v>
      </c>
      <c r="I63" s="106">
        <f t="shared" si="0"/>
        <v>0</v>
      </c>
    </row>
    <row r="64" spans="1:9" ht="14.4" x14ac:dyDescent="0.3">
      <c r="A64" s="68" t="s">
        <v>52</v>
      </c>
      <c r="B64" s="69">
        <v>13.974999999999996</v>
      </c>
      <c r="C64" s="69">
        <v>13.974999999999996</v>
      </c>
      <c r="D64" s="69">
        <v>16.746007934126748</v>
      </c>
      <c r="E64" s="69">
        <v>17.588333333333335</v>
      </c>
      <c r="F64" s="96">
        <v>20.66716666666667</v>
      </c>
      <c r="G64" s="48">
        <v>19.571666666666665</v>
      </c>
      <c r="H64" s="48">
        <v>19.571666666666665</v>
      </c>
      <c r="I64" s="106">
        <f t="shared" si="0"/>
        <v>0</v>
      </c>
    </row>
    <row r="65" spans="1:9" ht="15" x14ac:dyDescent="0.3">
      <c r="A65" s="65" t="s">
        <v>53</v>
      </c>
      <c r="B65" s="66">
        <v>97.5</v>
      </c>
      <c r="C65" s="66">
        <v>97.5</v>
      </c>
      <c r="D65" s="66">
        <v>75.00750075007501</v>
      </c>
      <c r="E65" s="66">
        <v>150</v>
      </c>
      <c r="F65" s="95">
        <v>162.11831664429945</v>
      </c>
      <c r="G65" s="47">
        <v>161.06252172181823</v>
      </c>
      <c r="H65" s="47">
        <v>161.92945443094482</v>
      </c>
      <c r="I65" s="105">
        <f t="shared" si="0"/>
        <v>5.382584972958071E-3</v>
      </c>
    </row>
    <row r="66" spans="1:9" ht="14.4" x14ac:dyDescent="0.3">
      <c r="A66" s="68" t="s">
        <v>54</v>
      </c>
      <c r="B66" s="69">
        <v>97.5</v>
      </c>
      <c r="C66" s="69">
        <v>97.5</v>
      </c>
      <c r="D66" s="69">
        <v>75.00750075007501</v>
      </c>
      <c r="E66" s="69">
        <v>150</v>
      </c>
      <c r="F66" s="96">
        <v>162.11831664429945</v>
      </c>
      <c r="G66" s="48">
        <v>161.06252172181823</v>
      </c>
      <c r="H66" s="48">
        <v>161.92945443094482</v>
      </c>
      <c r="I66" s="106">
        <f t="shared" si="0"/>
        <v>5.382584972958071E-3</v>
      </c>
    </row>
    <row r="67" spans="1:9" ht="15" x14ac:dyDescent="0.3">
      <c r="A67" s="78" t="s">
        <v>55</v>
      </c>
      <c r="B67" s="79">
        <v>4436.0474709601558</v>
      </c>
      <c r="C67" s="79">
        <v>6632.9384518718507</v>
      </c>
      <c r="D67" s="79">
        <v>5532.3393298290393</v>
      </c>
      <c r="E67" s="79">
        <v>5654.6603797958942</v>
      </c>
      <c r="F67" s="100">
        <v>5888.4132264106574</v>
      </c>
      <c r="G67" s="46">
        <v>6175.643622189561</v>
      </c>
      <c r="H67" s="46">
        <v>6193.0570340805225</v>
      </c>
      <c r="I67" s="104">
        <f t="shared" si="0"/>
        <v>2.8196918339642441E-3</v>
      </c>
    </row>
    <row r="68" spans="1:9" ht="15" x14ac:dyDescent="0.3">
      <c r="A68" s="74" t="s">
        <v>63</v>
      </c>
      <c r="B68" s="75">
        <v>1123.1463096565558</v>
      </c>
      <c r="C68" s="75">
        <v>1438.1802152443768</v>
      </c>
      <c r="D68" s="75">
        <v>1219.2311120979762</v>
      </c>
      <c r="E68" s="75">
        <v>1162.0803648280064</v>
      </c>
      <c r="F68" s="98">
        <v>1455.0500143328543</v>
      </c>
      <c r="G68" s="47">
        <v>1612.3108482590321</v>
      </c>
      <c r="H68" s="47">
        <v>1619.1389323339445</v>
      </c>
      <c r="I68" s="105">
        <f t="shared" si="0"/>
        <v>4.2349675202428827E-3</v>
      </c>
    </row>
    <row r="69" spans="1:9" ht="14.4" x14ac:dyDescent="0.3">
      <c r="A69" s="71" t="s">
        <v>56</v>
      </c>
      <c r="B69" s="72">
        <v>930.34511102540102</v>
      </c>
      <c r="C69" s="72">
        <v>1038.9845854249177</v>
      </c>
      <c r="D69" s="72">
        <v>799.44221861803192</v>
      </c>
      <c r="E69" s="72">
        <v>654.91804842143722</v>
      </c>
      <c r="F69" s="97">
        <v>739.42998234547906</v>
      </c>
      <c r="G69" s="48">
        <v>717.32763638879135</v>
      </c>
      <c r="H69" s="48">
        <v>723.86357304983903</v>
      </c>
      <c r="I69" s="106">
        <f t="shared" si="0"/>
        <v>9.1115082278876436E-3</v>
      </c>
    </row>
    <row r="70" spans="1:9" ht="14.4" x14ac:dyDescent="0.3">
      <c r="A70" s="68" t="s">
        <v>57</v>
      </c>
      <c r="B70" s="69">
        <v>62.302859970056424</v>
      </c>
      <c r="C70" s="69">
        <v>167.65170254230208</v>
      </c>
      <c r="D70" s="69">
        <v>55.057498915664134</v>
      </c>
      <c r="E70" s="69">
        <v>125.29131548254594</v>
      </c>
      <c r="F70" s="96">
        <v>151.68935375998447</v>
      </c>
      <c r="G70" s="48">
        <v>170.16830156330826</v>
      </c>
      <c r="H70" s="48">
        <v>170.46044897717283</v>
      </c>
      <c r="I70" s="106">
        <f t="shared" si="0"/>
        <v>1.7168145370238808E-3</v>
      </c>
    </row>
    <row r="71" spans="1:9" ht="14.4" x14ac:dyDescent="0.3">
      <c r="A71" s="71" t="s">
        <v>58</v>
      </c>
      <c r="B71" s="72">
        <v>115.33708866109829</v>
      </c>
      <c r="C71" s="72">
        <v>204.64323717299041</v>
      </c>
      <c r="D71" s="72">
        <v>310.87887389554652</v>
      </c>
      <c r="E71" s="72">
        <v>332.77023703513436</v>
      </c>
      <c r="F71" s="97">
        <v>494.17899072739073</v>
      </c>
      <c r="G71" s="48">
        <v>651.42116030693262</v>
      </c>
      <c r="H71" s="48">
        <v>651.42116030693262</v>
      </c>
      <c r="I71" s="106">
        <f t="shared" si="0"/>
        <v>0</v>
      </c>
    </row>
    <row r="72" spans="1:9" ht="14.4" x14ac:dyDescent="0.3">
      <c r="A72" s="68" t="s">
        <v>59</v>
      </c>
      <c r="B72" s="69">
        <v>15.161249999999997</v>
      </c>
      <c r="C72" s="69">
        <v>26.900690104166671</v>
      </c>
      <c r="D72" s="69">
        <v>53.852520668733568</v>
      </c>
      <c r="E72" s="69">
        <v>49.100763888888885</v>
      </c>
      <c r="F72" s="96">
        <v>69.751687500000017</v>
      </c>
      <c r="G72" s="49">
        <v>73.393749999999997</v>
      </c>
      <c r="H72" s="49">
        <v>73.393749999999997</v>
      </c>
      <c r="I72" s="107">
        <f t="shared" si="0"/>
        <v>0</v>
      </c>
    </row>
    <row r="73" spans="1:9" ht="15" x14ac:dyDescent="0.3">
      <c r="A73" s="81" t="s">
        <v>60</v>
      </c>
      <c r="B73" s="82">
        <v>5559.1937806167116</v>
      </c>
      <c r="C73" s="82">
        <v>8071.1186671162277</v>
      </c>
      <c r="D73" s="82">
        <v>6751.5704419270151</v>
      </c>
      <c r="E73" s="82">
        <v>6816.7407446239004</v>
      </c>
      <c r="F73" s="100">
        <v>7343.463240743512</v>
      </c>
      <c r="G73" s="46">
        <v>7787.9544704485934</v>
      </c>
      <c r="H73" s="46">
        <v>7812.195966414467</v>
      </c>
      <c r="I73" s="104">
        <f t="shared" si="0"/>
        <v>3.112691022765679E-3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62</v>
      </c>
      <c r="C75" s="86">
        <v>62</v>
      </c>
      <c r="D75" s="86">
        <v>57.300000000000004</v>
      </c>
      <c r="E75" s="86">
        <v>57.300000000000004</v>
      </c>
      <c r="F75" s="86">
        <v>56</v>
      </c>
      <c r="G75" s="108">
        <v>56</v>
      </c>
      <c r="H75" s="108">
        <v>56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>
      <c r="A82" s="93"/>
      <c r="B82" s="93"/>
      <c r="C82" s="93"/>
      <c r="D82" s="93"/>
      <c r="E82" s="93"/>
      <c r="F82" s="93"/>
      <c r="G82" s="93"/>
      <c r="H82" s="93"/>
      <c r="I82" s="93"/>
    </row>
    <row r="83" spans="1:9" ht="15" hidden="1" customHeight="1" x14ac:dyDescent="0.3">
      <c r="A83" s="93"/>
      <c r="B83" s="93"/>
      <c r="C83" s="93"/>
      <c r="D83" s="93"/>
      <c r="E83" s="93"/>
      <c r="F83" s="93"/>
      <c r="G83" s="93"/>
      <c r="H83" s="93"/>
      <c r="I83" s="93"/>
    </row>
    <row r="84" spans="1:9" ht="14.7" hidden="1" customHeight="1" x14ac:dyDescent="0.3">
      <c r="A84" s="125"/>
      <c r="B84" s="125"/>
      <c r="C84" s="125"/>
      <c r="D84" s="125"/>
      <c r="E84" s="125"/>
      <c r="F84" s="125"/>
      <c r="G84" s="125"/>
    </row>
  </sheetData>
  <mergeCells count="5">
    <mergeCell ref="A84:G84"/>
    <mergeCell ref="A2:I2"/>
    <mergeCell ref="A3:I3"/>
    <mergeCell ref="A4:I4"/>
    <mergeCell ref="A80:I80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53F5-5366-4153-821E-5A0BC26E69A1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117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2987.954595218886</v>
      </c>
      <c r="C9" s="64">
        <v>4994.5713445465499</v>
      </c>
      <c r="D9" s="63">
        <v>4312.847888149041</v>
      </c>
      <c r="E9" s="63">
        <v>3690.8148633376463</v>
      </c>
      <c r="F9" s="99">
        <v>4834.3008542892976</v>
      </c>
      <c r="G9" s="46">
        <v>4250.2083388170777</v>
      </c>
      <c r="H9" s="46">
        <v>4246.6266139909249</v>
      </c>
      <c r="I9" s="104">
        <f>IFERROR(H9/G9-1,"-")</f>
        <v>-8.4271747185682422E-4</v>
      </c>
    </row>
    <row r="10" spans="1:9" ht="15" x14ac:dyDescent="0.3">
      <c r="A10" s="65" t="s">
        <v>3</v>
      </c>
      <c r="B10" s="66">
        <v>443.08546136663438</v>
      </c>
      <c r="C10" s="66">
        <v>785.29173801374304</v>
      </c>
      <c r="D10" s="66">
        <v>662.57206718894213</v>
      </c>
      <c r="E10" s="66">
        <v>627.24831713501828</v>
      </c>
      <c r="F10" s="95">
        <v>587.35077529748412</v>
      </c>
      <c r="G10" s="47">
        <v>470.56959248047792</v>
      </c>
      <c r="H10" s="47">
        <v>453.35672356723586</v>
      </c>
      <c r="I10" s="105">
        <f t="shared" ref="I10:I73" si="0">IFERROR(H10/G10-1,"-")</f>
        <v>-3.6578795545434972E-2</v>
      </c>
    </row>
    <row r="11" spans="1:9" ht="14.4" x14ac:dyDescent="0.3">
      <c r="A11" s="68" t="s">
        <v>4</v>
      </c>
      <c r="B11" s="69">
        <v>383.8950866792232</v>
      </c>
      <c r="C11" s="69">
        <v>697.13110111994547</v>
      </c>
      <c r="D11" s="69">
        <v>632.43860957226627</v>
      </c>
      <c r="E11" s="69">
        <v>615.17764987265821</v>
      </c>
      <c r="F11" s="96">
        <v>582.26985705823643</v>
      </c>
      <c r="G11" s="48">
        <v>468.5988549144015</v>
      </c>
      <c r="H11" s="48">
        <v>451.57709125123063</v>
      </c>
      <c r="I11" s="106">
        <f t="shared" si="0"/>
        <v>-3.632480848951336E-2</v>
      </c>
    </row>
    <row r="12" spans="1:9" ht="14.4" x14ac:dyDescent="0.3">
      <c r="A12" s="71" t="s">
        <v>5</v>
      </c>
      <c r="B12" s="72">
        <v>59.19037468741115</v>
      </c>
      <c r="C12" s="72">
        <v>88.16063689379763</v>
      </c>
      <c r="D12" s="72">
        <v>30.133457616675834</v>
      </c>
      <c r="E12" s="72">
        <v>12.070667262360088</v>
      </c>
      <c r="F12" s="97">
        <v>5.0809182392477217</v>
      </c>
      <c r="G12" s="48">
        <v>1.9707375660764319</v>
      </c>
      <c r="H12" s="48">
        <v>1.7796323160052061</v>
      </c>
      <c r="I12" s="106">
        <f t="shared" si="0"/>
        <v>-9.6971435142275131E-2</v>
      </c>
    </row>
    <row r="13" spans="1:9" ht="15" x14ac:dyDescent="0.3">
      <c r="A13" s="74" t="s">
        <v>6</v>
      </c>
      <c r="B13" s="75">
        <v>1067.7194325017545</v>
      </c>
      <c r="C13" s="75">
        <v>2319.4349410381178</v>
      </c>
      <c r="D13" s="75">
        <v>1672.9562029104543</v>
      </c>
      <c r="E13" s="75">
        <v>1513.1235303583587</v>
      </c>
      <c r="F13" s="98">
        <v>1896.2774724627977</v>
      </c>
      <c r="G13" s="47">
        <v>1984.1995798826845</v>
      </c>
      <c r="H13" s="47">
        <v>1994.340902641226</v>
      </c>
      <c r="I13" s="105">
        <f t="shared" si="0"/>
        <v>5.1110396662523705E-3</v>
      </c>
    </row>
    <row r="14" spans="1:9" ht="14.4" x14ac:dyDescent="0.3">
      <c r="A14" s="71" t="s">
        <v>7</v>
      </c>
      <c r="B14" s="72">
        <v>39.663239336267381</v>
      </c>
      <c r="C14" s="72">
        <v>59.843018053872349</v>
      </c>
      <c r="D14" s="72">
        <v>114.06496089484639</v>
      </c>
      <c r="E14" s="72">
        <v>103.5790879117619</v>
      </c>
      <c r="F14" s="97">
        <v>195.81687646306969</v>
      </c>
      <c r="G14" s="48">
        <v>282.76627774055328</v>
      </c>
      <c r="H14" s="48">
        <v>282.65320109445128</v>
      </c>
      <c r="I14" s="106">
        <f t="shared" si="0"/>
        <v>-3.9989438275855882E-4</v>
      </c>
    </row>
    <row r="15" spans="1:9" ht="14.4" x14ac:dyDescent="0.3">
      <c r="A15" s="68" t="s">
        <v>8</v>
      </c>
      <c r="B15" s="69">
        <v>992.68301047541922</v>
      </c>
      <c r="C15" s="69">
        <v>2206.2599705434732</v>
      </c>
      <c r="D15" s="69">
        <v>1504.2831744355462</v>
      </c>
      <c r="E15" s="69">
        <v>1395.1732733546742</v>
      </c>
      <c r="F15" s="96">
        <v>1559.4225859002547</v>
      </c>
      <c r="G15" s="48">
        <v>1641.6478133289759</v>
      </c>
      <c r="H15" s="48">
        <v>1651.501621209168</v>
      </c>
      <c r="I15" s="106">
        <f t="shared" si="0"/>
        <v>6.0023884539586181E-3</v>
      </c>
    </row>
    <row r="16" spans="1:9" ht="14.4" x14ac:dyDescent="0.3">
      <c r="A16" s="71" t="s">
        <v>9</v>
      </c>
      <c r="B16" s="72">
        <v>35.373182690067765</v>
      </c>
      <c r="C16" s="72">
        <v>53.33195244077249</v>
      </c>
      <c r="D16" s="72">
        <v>54.608067580061658</v>
      </c>
      <c r="E16" s="72">
        <v>14.371169091922528</v>
      </c>
      <c r="F16" s="97">
        <v>141.03801009947333</v>
      </c>
      <c r="G16" s="48">
        <v>59.78548881315529</v>
      </c>
      <c r="H16" s="48">
        <v>60.186080337606555</v>
      </c>
      <c r="I16" s="106">
        <f t="shared" si="0"/>
        <v>6.7004808759398848E-3</v>
      </c>
    </row>
    <row r="17" spans="1:9" ht="15" x14ac:dyDescent="0.3">
      <c r="A17" s="74" t="s">
        <v>10</v>
      </c>
      <c r="B17" s="75">
        <v>1159.5482593214786</v>
      </c>
      <c r="C17" s="75">
        <v>1475.9459064247867</v>
      </c>
      <c r="D17" s="75">
        <v>1394.355201971654</v>
      </c>
      <c r="E17" s="75">
        <v>1040.0770122227627</v>
      </c>
      <c r="F17" s="98">
        <v>1625.5528941721177</v>
      </c>
      <c r="G17" s="47">
        <v>1276.1432000948289</v>
      </c>
      <c r="H17" s="47">
        <v>1278.0370735704496</v>
      </c>
      <c r="I17" s="105">
        <f t="shared" si="0"/>
        <v>1.4840603119461449E-3</v>
      </c>
    </row>
    <row r="18" spans="1:9" ht="14.4" x14ac:dyDescent="0.3">
      <c r="A18" s="71" t="s">
        <v>11</v>
      </c>
      <c r="B18" s="72">
        <v>334.29397804415277</v>
      </c>
      <c r="C18" s="72">
        <v>393.90527645340217</v>
      </c>
      <c r="D18" s="72">
        <v>335.25806723708399</v>
      </c>
      <c r="E18" s="72">
        <v>361.78394103533299</v>
      </c>
      <c r="F18" s="97">
        <v>639.17501958063804</v>
      </c>
      <c r="G18" s="48">
        <v>575.54867504116407</v>
      </c>
      <c r="H18" s="48">
        <v>574.00550585352471</v>
      </c>
      <c r="I18" s="106">
        <f t="shared" si="0"/>
        <v>-2.6812140389845807E-3</v>
      </c>
    </row>
    <row r="19" spans="1:9" ht="14.4" x14ac:dyDescent="0.3">
      <c r="A19" s="68" t="s">
        <v>12</v>
      </c>
      <c r="B19" s="69">
        <v>183.14513588551611</v>
      </c>
      <c r="C19" s="69">
        <v>307.0858900857445</v>
      </c>
      <c r="D19" s="69">
        <v>448.84493126334439</v>
      </c>
      <c r="E19" s="69">
        <v>208.1895381050291</v>
      </c>
      <c r="F19" s="96">
        <v>178.88651958528786</v>
      </c>
      <c r="G19" s="48">
        <v>211.34135867851606</v>
      </c>
      <c r="H19" s="48">
        <v>212.52375760199476</v>
      </c>
      <c r="I19" s="106">
        <f t="shared" si="0"/>
        <v>5.5947351283820446E-3</v>
      </c>
    </row>
    <row r="20" spans="1:9" ht="14.4" x14ac:dyDescent="0.3">
      <c r="A20" s="71" t="s">
        <v>13</v>
      </c>
      <c r="B20" s="72">
        <v>599.27932481847267</v>
      </c>
      <c r="C20" s="72">
        <v>721.63726814317272</v>
      </c>
      <c r="D20" s="72">
        <v>551.47426776267537</v>
      </c>
      <c r="E20" s="72">
        <v>380.74212796256768</v>
      </c>
      <c r="F20" s="97">
        <v>682.04990738151969</v>
      </c>
      <c r="G20" s="48">
        <v>385.19489577718076</v>
      </c>
      <c r="H20" s="48">
        <v>386.02075351491533</v>
      </c>
      <c r="I20" s="106">
        <f t="shared" si="0"/>
        <v>2.1439996915542103E-3</v>
      </c>
    </row>
    <row r="21" spans="1:9" ht="14.4" x14ac:dyDescent="0.3">
      <c r="A21" s="68" t="s">
        <v>14</v>
      </c>
      <c r="B21" s="69">
        <v>42.829820573337017</v>
      </c>
      <c r="C21" s="69">
        <v>53.317471742467106</v>
      </c>
      <c r="D21" s="69">
        <v>58.77793570855011</v>
      </c>
      <c r="E21" s="69">
        <v>89.361405119832881</v>
      </c>
      <c r="F21" s="96">
        <v>125.44144762467205</v>
      </c>
      <c r="G21" s="48">
        <v>104.05827059796789</v>
      </c>
      <c r="H21" s="48">
        <v>105.48705660001504</v>
      </c>
      <c r="I21" s="106">
        <f t="shared" si="0"/>
        <v>1.373063374815553E-2</v>
      </c>
    </row>
    <row r="22" spans="1:9" ht="15" x14ac:dyDescent="0.3">
      <c r="A22" s="74" t="s">
        <v>129</v>
      </c>
      <c r="B22" s="75">
        <v>176.26651794764257</v>
      </c>
      <c r="C22" s="75">
        <v>265.40013267731831</v>
      </c>
      <c r="D22" s="75">
        <v>277.28692880538614</v>
      </c>
      <c r="E22" s="75">
        <v>213.86709562805788</v>
      </c>
      <c r="F22" s="112">
        <v>186.33226765723469</v>
      </c>
      <c r="G22" s="47">
        <v>172.15482767761392</v>
      </c>
      <c r="H22" s="47">
        <v>173.71818326132922</v>
      </c>
      <c r="I22" s="105">
        <f t="shared" si="0"/>
        <v>9.0811021962329264E-3</v>
      </c>
    </row>
    <row r="23" spans="1:9" ht="14.4" x14ac:dyDescent="0.3">
      <c r="A23" s="71" t="s">
        <v>15</v>
      </c>
      <c r="B23" s="72">
        <v>45.125422718750002</v>
      </c>
      <c r="C23" s="72">
        <v>67.944231928571426</v>
      </c>
      <c r="D23" s="72">
        <v>57.014973889561418</v>
      </c>
      <c r="E23" s="72">
        <v>32.238632496988998</v>
      </c>
      <c r="F23" s="113">
        <v>8.5922845206880449</v>
      </c>
      <c r="G23" s="48">
        <v>8.3630219675500115</v>
      </c>
      <c r="H23" s="48">
        <v>8.438967424706675</v>
      </c>
      <c r="I23" s="106">
        <f>IFERROR(H23/G23-1,"-")</f>
        <v>9.0811021962331484E-3</v>
      </c>
    </row>
    <row r="24" spans="1:9" ht="15" x14ac:dyDescent="0.3">
      <c r="A24" s="68" t="s">
        <v>16</v>
      </c>
      <c r="B24" s="69">
        <v>25.419540030427637</v>
      </c>
      <c r="C24" s="69">
        <v>38.273572174812038</v>
      </c>
      <c r="D24" s="69">
        <v>55.723749408729681</v>
      </c>
      <c r="E24" s="69">
        <v>54.090795412712659</v>
      </c>
      <c r="F24" s="112">
        <v>47.583046267162182</v>
      </c>
      <c r="G24" s="48">
        <v>46.313417608214898</v>
      </c>
      <c r="H24" s="48">
        <v>46.733994486571916</v>
      </c>
      <c r="I24" s="106">
        <f t="shared" si="0"/>
        <v>9.0811021962329264E-3</v>
      </c>
    </row>
    <row r="25" spans="1:9" ht="14.4" x14ac:dyDescent="0.3">
      <c r="A25" s="71" t="s">
        <v>17</v>
      </c>
      <c r="B25" s="72">
        <v>44.468371018777418</v>
      </c>
      <c r="C25" s="72">
        <v>66.954925448934844</v>
      </c>
      <c r="D25" s="72">
        <v>61.85254004149062</v>
      </c>
      <c r="E25" s="72">
        <v>51.772380121631336</v>
      </c>
      <c r="F25" s="113">
        <v>58.203168826326014</v>
      </c>
      <c r="G25" s="48">
        <v>47.444517442278524</v>
      </c>
      <c r="H25" s="48">
        <v>47.875365953822822</v>
      </c>
      <c r="I25" s="106">
        <f t="shared" si="0"/>
        <v>9.0811021962331484E-3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61.253184179687501</v>
      </c>
      <c r="C27" s="72">
        <v>92.227403125000009</v>
      </c>
      <c r="D27" s="72">
        <v>102.69566546560442</v>
      </c>
      <c r="E27" s="72">
        <v>75.765287596724917</v>
      </c>
      <c r="F27" s="113">
        <v>71.953768043058474</v>
      </c>
      <c r="G27" s="48">
        <v>70.033870659570482</v>
      </c>
      <c r="H27" s="48">
        <v>70.669855396227803</v>
      </c>
      <c r="I27" s="106">
        <f t="shared" si="0"/>
        <v>9.0811021962329264E-3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141.33492408137636</v>
      </c>
      <c r="C31" s="66">
        <v>148.49862639258396</v>
      </c>
      <c r="D31" s="66">
        <v>305.67748727260448</v>
      </c>
      <c r="E31" s="66">
        <v>296.49890799344831</v>
      </c>
      <c r="F31" s="95">
        <v>538.78744469966364</v>
      </c>
      <c r="G31" s="47">
        <v>347.14113868147263</v>
      </c>
      <c r="H31" s="47">
        <v>347.17373095068433</v>
      </c>
      <c r="I31" s="105">
        <f t="shared" si="0"/>
        <v>9.3887660032265785E-5</v>
      </c>
    </row>
    <row r="32" spans="1:9" ht="14.4" x14ac:dyDescent="0.3">
      <c r="A32" s="68" t="s">
        <v>21</v>
      </c>
      <c r="B32" s="69">
        <v>125.20992408137637</v>
      </c>
      <c r="C32" s="69">
        <v>132.37362639258396</v>
      </c>
      <c r="D32" s="69">
        <v>283.60415393927116</v>
      </c>
      <c r="E32" s="69">
        <v>278.43890799344831</v>
      </c>
      <c r="F32" s="96">
        <v>518.14744469966365</v>
      </c>
      <c r="G32" s="48">
        <v>333.52447201480595</v>
      </c>
      <c r="H32" s="48">
        <v>333.55706428401766</v>
      </c>
      <c r="I32" s="106">
        <f t="shared" si="0"/>
        <v>9.772077297598436E-5</v>
      </c>
    </row>
    <row r="33" spans="1:20" ht="14.4" x14ac:dyDescent="0.3">
      <c r="A33" s="71" t="s">
        <v>22</v>
      </c>
      <c r="B33" s="72">
        <v>16.125</v>
      </c>
      <c r="C33" s="72">
        <v>16.125</v>
      </c>
      <c r="D33" s="72">
        <v>22.073333333333327</v>
      </c>
      <c r="E33" s="72">
        <v>18.059999999999999</v>
      </c>
      <c r="F33" s="97">
        <v>20.639999999999997</v>
      </c>
      <c r="G33" s="48">
        <v>13.616666666666665</v>
      </c>
      <c r="H33" s="48">
        <v>13.616666666666665</v>
      </c>
      <c r="I33" s="106">
        <f t="shared" si="0"/>
        <v>0</v>
      </c>
    </row>
    <row r="34" spans="1:20" ht="15" x14ac:dyDescent="0.3">
      <c r="A34" s="74" t="s">
        <v>23</v>
      </c>
      <c r="B34" s="75">
        <v>153.66538109161792</v>
      </c>
      <c r="C34" s="75">
        <v>153.66538109161792</v>
      </c>
      <c r="D34" s="75">
        <v>219.46231235557286</v>
      </c>
      <c r="E34" s="75">
        <v>318.85921572922729</v>
      </c>
      <c r="F34" s="98">
        <v>252.3544918489178</v>
      </c>
      <c r="G34" s="47">
        <v>242.80472179317459</v>
      </c>
      <c r="H34" s="47">
        <v>242.80472179317459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148.96738109161791</v>
      </c>
      <c r="C35" s="72">
        <v>148.96738109161791</v>
      </c>
      <c r="D35" s="72">
        <v>214.65531235557287</v>
      </c>
      <c r="E35" s="72">
        <v>313.91568447922731</v>
      </c>
      <c r="F35" s="97">
        <v>245.66209184891781</v>
      </c>
      <c r="G35" s="48">
        <v>235.5867217931746</v>
      </c>
      <c r="H35" s="48">
        <v>235.5867217931746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4.6980000000000004</v>
      </c>
      <c r="C36" s="69">
        <v>4.6980000000000004</v>
      </c>
      <c r="D36" s="69">
        <v>4.8070000000000013</v>
      </c>
      <c r="E36" s="69">
        <v>4.9435312500000004</v>
      </c>
      <c r="F36" s="96">
        <v>6.6923999999999992</v>
      </c>
      <c r="G36" s="48">
        <v>7.2179999999999991</v>
      </c>
      <c r="H36" s="48">
        <v>7.2179999999999991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159.81333011417047</v>
      </c>
      <c r="C37" s="66">
        <v>182.52294672641202</v>
      </c>
      <c r="D37" s="66">
        <v>240.94362358227815</v>
      </c>
      <c r="E37" s="66">
        <v>245.34199302641943</v>
      </c>
      <c r="F37" s="95">
        <v>268.03575548915541</v>
      </c>
      <c r="G37" s="47">
        <v>293.61196565552217</v>
      </c>
      <c r="H37" s="47">
        <v>293.6833058055222</v>
      </c>
      <c r="I37" s="105">
        <f t="shared" si="0"/>
        <v>2.4297425971986364E-4</v>
      </c>
    </row>
    <row r="38" spans="1:20" ht="14.4" x14ac:dyDescent="0.3">
      <c r="A38" s="68" t="s">
        <v>27</v>
      </c>
      <c r="B38" s="69">
        <v>26.014322316275273</v>
      </c>
      <c r="C38" s="69">
        <v>27.447062778516791</v>
      </c>
      <c r="D38" s="69">
        <v>56.801815325187562</v>
      </c>
      <c r="E38" s="69">
        <v>51.95941795568131</v>
      </c>
      <c r="F38" s="96">
        <v>85.58978179360922</v>
      </c>
      <c r="G38" s="48">
        <v>64.500704584975992</v>
      </c>
      <c r="H38" s="48">
        <v>64.556564584975987</v>
      </c>
      <c r="I38" s="106">
        <f t="shared" si="0"/>
        <v>8.6603705121390817E-4</v>
      </c>
    </row>
    <row r="39" spans="1:20" ht="14.4" x14ac:dyDescent="0.3">
      <c r="A39" s="71" t="s">
        <v>28</v>
      </c>
      <c r="B39" s="72">
        <v>57.737609999999997</v>
      </c>
      <c r="C39" s="72">
        <v>67.859640000000013</v>
      </c>
      <c r="D39" s="72">
        <v>83.156570000000016</v>
      </c>
      <c r="E39" s="72">
        <v>86.759699999999995</v>
      </c>
      <c r="F39" s="97">
        <v>80.237850000000023</v>
      </c>
      <c r="G39" s="48">
        <v>102.26580000000001</v>
      </c>
      <c r="H39" s="48">
        <v>102.26580000000001</v>
      </c>
      <c r="I39" s="106">
        <f t="shared" si="0"/>
        <v>0</v>
      </c>
    </row>
    <row r="40" spans="1:20" ht="14.4" x14ac:dyDescent="0.3">
      <c r="A40" s="68" t="s">
        <v>29</v>
      </c>
      <c r="B40" s="69">
        <v>57.737609999999997</v>
      </c>
      <c r="C40" s="69">
        <v>67.859640000000013</v>
      </c>
      <c r="D40" s="69">
        <v>83.156570000000016</v>
      </c>
      <c r="E40" s="69">
        <v>86.759699999999995</v>
      </c>
      <c r="F40" s="96">
        <v>80.237850000000023</v>
      </c>
      <c r="G40" s="48">
        <v>102.26580000000001</v>
      </c>
      <c r="H40" s="48">
        <v>102.26580000000001</v>
      </c>
      <c r="I40" s="106">
        <f t="shared" si="0"/>
        <v>0</v>
      </c>
    </row>
    <row r="41" spans="1:20" ht="14.4" x14ac:dyDescent="0.3">
      <c r="A41" s="71" t="s">
        <v>30</v>
      </c>
      <c r="B41" s="72">
        <v>5.4403936948648939</v>
      </c>
      <c r="C41" s="72">
        <v>5.4403936948648939</v>
      </c>
      <c r="D41" s="72">
        <v>1.5836245123537063</v>
      </c>
      <c r="E41" s="72">
        <v>0.72496032073813732</v>
      </c>
      <c r="F41" s="97">
        <v>1.7029018205461635</v>
      </c>
      <c r="G41" s="48">
        <v>1.7029018205461641</v>
      </c>
      <c r="H41" s="48">
        <v>1.7029018205461639</v>
      </c>
      <c r="I41" s="106">
        <f t="shared" si="0"/>
        <v>-1.1102230246251565E-16</v>
      </c>
    </row>
    <row r="42" spans="1:20" ht="14.4" x14ac:dyDescent="0.3">
      <c r="A42" s="68" t="s">
        <v>31</v>
      </c>
      <c r="B42" s="69">
        <v>6.9103637999999989</v>
      </c>
      <c r="C42" s="69">
        <v>7.9431799500000002</v>
      </c>
      <c r="D42" s="69">
        <v>9.6293858499999985</v>
      </c>
      <c r="E42" s="69">
        <v>10.06096475</v>
      </c>
      <c r="F42" s="96">
        <v>9.3633718749999986</v>
      </c>
      <c r="G42" s="48">
        <v>12.248759249999999</v>
      </c>
      <c r="H42" s="48">
        <v>12.264239399999999</v>
      </c>
      <c r="I42" s="106">
        <f t="shared" si="0"/>
        <v>1.2638137205611688E-3</v>
      </c>
    </row>
    <row r="43" spans="1:20" ht="14.4" x14ac:dyDescent="0.3">
      <c r="A43" s="71" t="s">
        <v>32</v>
      </c>
      <c r="B43" s="72">
        <v>5.9730303030303036</v>
      </c>
      <c r="C43" s="72">
        <v>5.9730303030303036</v>
      </c>
      <c r="D43" s="72">
        <v>6.6156578947368425</v>
      </c>
      <c r="E43" s="72">
        <v>9.0772499999999958</v>
      </c>
      <c r="F43" s="97">
        <v>10.903999999999998</v>
      </c>
      <c r="G43" s="48">
        <v>10.628</v>
      </c>
      <c r="H43" s="48">
        <v>10.628</v>
      </c>
      <c r="I43" s="106">
        <f t="shared" si="0"/>
        <v>0</v>
      </c>
    </row>
    <row r="44" spans="1:20" ht="15" x14ac:dyDescent="0.3">
      <c r="A44" s="74" t="s">
        <v>33</v>
      </c>
      <c r="B44" s="75">
        <v>261.1815446689522</v>
      </c>
      <c r="C44" s="75">
        <v>390.57361669888985</v>
      </c>
      <c r="D44" s="75">
        <v>1005.5745963019705</v>
      </c>
      <c r="E44" s="75">
        <v>291.73975060415938</v>
      </c>
      <c r="F44" s="98">
        <v>309.9177863135231</v>
      </c>
      <c r="G44" s="47">
        <v>399.58136749774616</v>
      </c>
      <c r="H44" s="47">
        <v>399.45807463256131</v>
      </c>
      <c r="I44" s="105">
        <f t="shared" si="0"/>
        <v>-3.0855509093663525E-4</v>
      </c>
    </row>
    <row r="45" spans="1:20" ht="14.4" x14ac:dyDescent="0.3">
      <c r="A45" s="71" t="s">
        <v>34</v>
      </c>
      <c r="B45" s="72">
        <v>232.29993345803484</v>
      </c>
      <c r="C45" s="72">
        <v>354.41679702243249</v>
      </c>
      <c r="D45" s="72">
        <v>966.70848288448951</v>
      </c>
      <c r="E45" s="72">
        <v>236.40403498854621</v>
      </c>
      <c r="F45" s="97">
        <v>267.87248419287209</v>
      </c>
      <c r="G45" s="48">
        <v>361.42459570549516</v>
      </c>
      <c r="H45" s="48">
        <v>361.30130284031031</v>
      </c>
      <c r="I45" s="106">
        <f t="shared" si="0"/>
        <v>-3.4113025690518661E-4</v>
      </c>
    </row>
    <row r="46" spans="1:20" ht="14.4" x14ac:dyDescent="0.3">
      <c r="A46" s="68" t="s">
        <v>35</v>
      </c>
      <c r="B46" s="69">
        <v>13.839451760461065</v>
      </c>
      <c r="C46" s="69">
        <v>21.114660226001096</v>
      </c>
      <c r="D46" s="69">
        <v>7.0974401783531862</v>
      </c>
      <c r="E46" s="69">
        <v>6.1112400543763883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15.042159450456277</v>
      </c>
      <c r="C47" s="72">
        <v>15.042159450456277</v>
      </c>
      <c r="D47" s="72">
        <v>31.768673239127796</v>
      </c>
      <c r="E47" s="72">
        <v>49.22447556123678</v>
      </c>
      <c r="F47" s="97">
        <v>42.045302120650987</v>
      </c>
      <c r="G47" s="48">
        <v>38.156771792250971</v>
      </c>
      <c r="H47" s="48">
        <v>38.156771792250971</v>
      </c>
      <c r="I47" s="106">
        <f t="shared" si="0"/>
        <v>0</v>
      </c>
    </row>
    <row r="48" spans="1:20" ht="15" x14ac:dyDescent="0.3">
      <c r="A48" s="74" t="s">
        <v>37</v>
      </c>
      <c r="B48" s="75">
        <v>228.15</v>
      </c>
      <c r="C48" s="75">
        <v>228.15</v>
      </c>
      <c r="D48" s="75">
        <v>279.00000000000006</v>
      </c>
      <c r="E48" s="75">
        <v>136.40000000000003</v>
      </c>
      <c r="F48" s="98">
        <v>123.75</v>
      </c>
      <c r="G48" s="47">
        <v>175</v>
      </c>
      <c r="H48" s="47">
        <v>175</v>
      </c>
      <c r="I48" s="105">
        <f t="shared" si="0"/>
        <v>0</v>
      </c>
    </row>
    <row r="49" spans="1:9" ht="14.4" x14ac:dyDescent="0.3">
      <c r="A49" s="71" t="s">
        <v>62</v>
      </c>
      <c r="B49" s="72">
        <v>108</v>
      </c>
      <c r="C49" s="72">
        <v>108</v>
      </c>
      <c r="D49" s="72">
        <v>136.40000000000003</v>
      </c>
      <c r="E49" s="72">
        <v>0</v>
      </c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12.150000000000004</v>
      </c>
      <c r="C50" s="69">
        <v>12.150000000000004</v>
      </c>
      <c r="D50" s="69">
        <v>18.599999999999998</v>
      </c>
      <c r="E50" s="69">
        <v>0</v>
      </c>
      <c r="F50" s="96">
        <v>0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108</v>
      </c>
      <c r="C51" s="72">
        <v>108</v>
      </c>
      <c r="D51" s="72">
        <v>124.00000000000001</v>
      </c>
      <c r="E51" s="72">
        <v>136.40000000000003</v>
      </c>
      <c r="F51" s="97">
        <v>123.75</v>
      </c>
      <c r="G51" s="48">
        <v>175</v>
      </c>
      <c r="H51" s="48">
        <v>175</v>
      </c>
      <c r="I51" s="106">
        <f t="shared" si="0"/>
        <v>0</v>
      </c>
    </row>
    <row r="52" spans="1:9" ht="15" x14ac:dyDescent="0.3">
      <c r="A52" s="74" t="s">
        <v>40</v>
      </c>
      <c r="B52" s="75">
        <v>91.204837840167883</v>
      </c>
      <c r="C52" s="75">
        <v>103.93091111895683</v>
      </c>
      <c r="D52" s="75">
        <v>75.376486820352255</v>
      </c>
      <c r="E52" s="75">
        <v>108.04948704179222</v>
      </c>
      <c r="F52" s="98">
        <v>119.05836339679848</v>
      </c>
      <c r="G52" s="47">
        <v>91.267661067974501</v>
      </c>
      <c r="H52" s="47">
        <v>91.555873428072886</v>
      </c>
      <c r="I52" s="105">
        <f t="shared" si="0"/>
        <v>3.1578804225489421E-3</v>
      </c>
    </row>
    <row r="53" spans="1:9" ht="14.4" x14ac:dyDescent="0.3">
      <c r="A53" s="71" t="s">
        <v>41</v>
      </c>
      <c r="B53" s="72">
        <v>16.718308347980368</v>
      </c>
      <c r="C53" s="72">
        <v>25.50689192252824</v>
      </c>
      <c r="D53" s="72">
        <v>8.5738362643854007</v>
      </c>
      <c r="E53" s="72">
        <v>7.3824886553301683</v>
      </c>
      <c r="F53" s="97">
        <v>9.5306513091060143</v>
      </c>
      <c r="G53" s="48">
        <v>34.137349282119771</v>
      </c>
      <c r="H53" s="48">
        <v>34.125703999389103</v>
      </c>
      <c r="I53" s="106">
        <f t="shared" si="0"/>
        <v>-3.4113025690507559E-4</v>
      </c>
    </row>
    <row r="54" spans="1:9" ht="14.4" x14ac:dyDescent="0.3">
      <c r="A54" s="68" t="s">
        <v>42</v>
      </c>
      <c r="B54" s="69">
        <v>5.6652169921875002</v>
      </c>
      <c r="C54" s="69">
        <v>8.4150441964285729</v>
      </c>
      <c r="D54" s="69">
        <v>8.8128505559668362</v>
      </c>
      <c r="E54" s="69">
        <v>8.1055083864620148</v>
      </c>
      <c r="F54" s="96">
        <v>9.5773120876924853</v>
      </c>
      <c r="G54" s="48">
        <v>9.3475117858547279</v>
      </c>
      <c r="H54" s="48">
        <v>9.4248894286837821</v>
      </c>
      <c r="I54" s="106">
        <f t="shared" si="0"/>
        <v>8.2778866292683162E-3</v>
      </c>
    </row>
    <row r="55" spans="1:9" ht="14.4" x14ac:dyDescent="0.3">
      <c r="A55" s="71" t="s">
        <v>43</v>
      </c>
      <c r="B55" s="72">
        <v>68.821312500000019</v>
      </c>
      <c r="C55" s="72">
        <v>70.008975000000021</v>
      </c>
      <c r="D55" s="72">
        <v>57.98980000000001</v>
      </c>
      <c r="E55" s="72">
        <v>92.561490000000035</v>
      </c>
      <c r="F55" s="97">
        <v>99.950399999999988</v>
      </c>
      <c r="G55" s="48">
        <v>47.782799999999995</v>
      </c>
      <c r="H55" s="48">
        <v>48.005279999999992</v>
      </c>
      <c r="I55" s="106">
        <f t="shared" si="0"/>
        <v>4.6560687109169496E-3</v>
      </c>
    </row>
    <row r="56" spans="1:9" s="4" customFormat="1" ht="15" x14ac:dyDescent="0.3">
      <c r="A56" s="74" t="s">
        <v>44</v>
      </c>
      <c r="B56" s="75">
        <v>294.29733512081623</v>
      </c>
      <c r="C56" s="75">
        <v>328.66340791015449</v>
      </c>
      <c r="D56" s="75">
        <v>488.49916768654833</v>
      </c>
      <c r="E56" s="75">
        <v>577.63771870770745</v>
      </c>
      <c r="F56" s="98">
        <v>534.81455010207594</v>
      </c>
      <c r="G56" s="47">
        <v>468.77447261774819</v>
      </c>
      <c r="H56" s="47">
        <v>472.55131555235977</v>
      </c>
      <c r="I56" s="105">
        <f t="shared" si="0"/>
        <v>8.0568442934205731E-3</v>
      </c>
    </row>
    <row r="57" spans="1:9" ht="14.4" x14ac:dyDescent="0.3">
      <c r="A57" s="71" t="s">
        <v>45</v>
      </c>
      <c r="B57" s="72">
        <v>294.29733512081623</v>
      </c>
      <c r="C57" s="72">
        <v>328.66340791015449</v>
      </c>
      <c r="D57" s="72">
        <v>488.49916768654833</v>
      </c>
      <c r="E57" s="72">
        <v>577.63771870770745</v>
      </c>
      <c r="F57" s="97">
        <v>534.81455010207594</v>
      </c>
      <c r="G57" s="48">
        <v>468.77447261774819</v>
      </c>
      <c r="H57" s="48">
        <v>472.55131555235977</v>
      </c>
      <c r="I57" s="106">
        <f t="shared" si="0"/>
        <v>8.0568442934205731E-3</v>
      </c>
    </row>
    <row r="58" spans="1:9" ht="15" x14ac:dyDescent="0.3">
      <c r="A58" s="62" t="s">
        <v>46</v>
      </c>
      <c r="B58" s="63">
        <v>4176.2670240546104</v>
      </c>
      <c r="C58" s="63">
        <v>6382.0776080925798</v>
      </c>
      <c r="D58" s="63">
        <v>6621.7040748957625</v>
      </c>
      <c r="E58" s="63">
        <v>5368.8430284469523</v>
      </c>
      <c r="F58" s="99">
        <v>6442.2318014397679</v>
      </c>
      <c r="G58" s="46">
        <v>5921.2485274492428</v>
      </c>
      <c r="H58" s="46">
        <v>5921.6799052026154</v>
      </c>
      <c r="I58" s="104">
        <f t="shared" si="0"/>
        <v>7.2852499160003248E-5</v>
      </c>
    </row>
    <row r="59" spans="1:9" ht="15" x14ac:dyDescent="0.3">
      <c r="A59" s="65" t="s">
        <v>47</v>
      </c>
      <c r="B59" s="66">
        <v>225.30388972443725</v>
      </c>
      <c r="C59" s="66">
        <v>225.30388972443725</v>
      </c>
      <c r="D59" s="66">
        <v>420.82561557949987</v>
      </c>
      <c r="E59" s="66">
        <v>634.42643750422667</v>
      </c>
      <c r="F59" s="95">
        <v>560.96805125859203</v>
      </c>
      <c r="G59" s="47">
        <v>533.23805736777592</v>
      </c>
      <c r="H59" s="47">
        <v>533.23805736777592</v>
      </c>
      <c r="I59" s="105">
        <f t="shared" si="0"/>
        <v>0</v>
      </c>
    </row>
    <row r="60" spans="1:9" ht="14.4" x14ac:dyDescent="0.3">
      <c r="A60" s="68" t="s">
        <v>48</v>
      </c>
      <c r="B60" s="69">
        <v>152.80457685935218</v>
      </c>
      <c r="C60" s="69">
        <v>152.80457685935218</v>
      </c>
      <c r="D60" s="69">
        <v>239.99889320305616</v>
      </c>
      <c r="E60" s="69">
        <v>374.30422552703612</v>
      </c>
      <c r="F60" s="96">
        <v>318.65221796149496</v>
      </c>
      <c r="G60" s="48">
        <v>277.56982407067869</v>
      </c>
      <c r="H60" s="48">
        <v>277.56982407067869</v>
      </c>
      <c r="I60" s="106">
        <f t="shared" si="0"/>
        <v>0</v>
      </c>
    </row>
    <row r="61" spans="1:9" ht="14.4" x14ac:dyDescent="0.3">
      <c r="A61" s="71" t="s">
        <v>49</v>
      </c>
      <c r="B61" s="72">
        <v>37.777312865085079</v>
      </c>
      <c r="C61" s="72">
        <v>37.777312865085079</v>
      </c>
      <c r="D61" s="72">
        <v>144.39467837644369</v>
      </c>
      <c r="E61" s="72">
        <v>217.26908697719043</v>
      </c>
      <c r="F61" s="97">
        <v>186.55423329709717</v>
      </c>
      <c r="G61" s="48">
        <v>197.80423329709717</v>
      </c>
      <c r="H61" s="48">
        <v>197.80423329709717</v>
      </c>
      <c r="I61" s="106">
        <f t="shared" si="0"/>
        <v>0</v>
      </c>
    </row>
    <row r="62" spans="1:9" ht="14.4" x14ac:dyDescent="0.3">
      <c r="A62" s="68" t="s">
        <v>50</v>
      </c>
      <c r="B62" s="69">
        <v>0.27</v>
      </c>
      <c r="C62" s="69">
        <v>0.27</v>
      </c>
      <c r="D62" s="69">
        <v>0.26404400000000006</v>
      </c>
      <c r="E62" s="69">
        <v>0.27300000000000008</v>
      </c>
      <c r="F62" s="96">
        <v>2.9280000000000004</v>
      </c>
      <c r="G62" s="48">
        <v>2.9279999999999999</v>
      </c>
      <c r="H62" s="48">
        <v>2.9279999999999999</v>
      </c>
      <c r="I62" s="106">
        <f t="shared" si="0"/>
        <v>0</v>
      </c>
    </row>
    <row r="63" spans="1:9" ht="14.4" x14ac:dyDescent="0.3">
      <c r="A63" s="71" t="s">
        <v>51</v>
      </c>
      <c r="B63" s="72">
        <v>15.659999999999998</v>
      </c>
      <c r="C63" s="72">
        <v>15.659999999999998</v>
      </c>
      <c r="D63" s="72">
        <v>16.940000000000001</v>
      </c>
      <c r="E63" s="72">
        <v>22.806000000000008</v>
      </c>
      <c r="F63" s="97">
        <v>26.064000000000004</v>
      </c>
      <c r="G63" s="48">
        <v>26.064</v>
      </c>
      <c r="H63" s="48">
        <v>26.064</v>
      </c>
      <c r="I63" s="106">
        <f t="shared" si="0"/>
        <v>0</v>
      </c>
    </row>
    <row r="64" spans="1:9" ht="14.4" x14ac:dyDescent="0.3">
      <c r="A64" s="68" t="s">
        <v>52</v>
      </c>
      <c r="B64" s="69">
        <v>18.792000000000002</v>
      </c>
      <c r="C64" s="69">
        <v>18.792000000000002</v>
      </c>
      <c r="D64" s="69">
        <v>19.228000000000005</v>
      </c>
      <c r="E64" s="69">
        <v>19.774124999999998</v>
      </c>
      <c r="F64" s="96">
        <v>26.769599999999997</v>
      </c>
      <c r="G64" s="48">
        <v>28.871999999999996</v>
      </c>
      <c r="H64" s="48">
        <v>28.871999999999996</v>
      </c>
      <c r="I64" s="106">
        <f t="shared" si="0"/>
        <v>0</v>
      </c>
    </row>
    <row r="65" spans="1:9" ht="15" x14ac:dyDescent="0.3">
      <c r="A65" s="65" t="s">
        <v>53</v>
      </c>
      <c r="B65" s="66">
        <v>64.799999999999983</v>
      </c>
      <c r="C65" s="66">
        <v>64.799999999999983</v>
      </c>
      <c r="D65" s="66">
        <v>52.79999999999999</v>
      </c>
      <c r="E65" s="66">
        <v>157.5</v>
      </c>
      <c r="F65" s="95">
        <v>204.83088084989433</v>
      </c>
      <c r="G65" s="47">
        <v>225.56760608435965</v>
      </c>
      <c r="H65" s="47">
        <v>226.54356319533591</v>
      </c>
      <c r="I65" s="105">
        <f t="shared" si="0"/>
        <v>4.3266722909283128E-3</v>
      </c>
    </row>
    <row r="66" spans="1:9" ht="14.4" x14ac:dyDescent="0.3">
      <c r="A66" s="68" t="s">
        <v>54</v>
      </c>
      <c r="B66" s="69">
        <v>64.799999999999983</v>
      </c>
      <c r="C66" s="69">
        <v>64.799999999999983</v>
      </c>
      <c r="D66" s="69">
        <v>52.79999999999999</v>
      </c>
      <c r="E66" s="69">
        <v>157.5</v>
      </c>
      <c r="F66" s="96">
        <v>204.83088084989433</v>
      </c>
      <c r="G66" s="48">
        <v>225.56760608435965</v>
      </c>
      <c r="H66" s="48">
        <v>226.54356319533591</v>
      </c>
      <c r="I66" s="106">
        <f t="shared" si="0"/>
        <v>4.3266722909283128E-3</v>
      </c>
    </row>
    <row r="67" spans="1:9" ht="15" x14ac:dyDescent="0.3">
      <c r="A67" s="78" t="s">
        <v>55</v>
      </c>
      <c r="B67" s="79">
        <v>4466.3709137790474</v>
      </c>
      <c r="C67" s="79">
        <v>6672.1814978170169</v>
      </c>
      <c r="D67" s="79">
        <v>7095.3296904752624</v>
      </c>
      <c r="E67" s="79">
        <v>6160.769465951179</v>
      </c>
      <c r="F67" s="100">
        <v>7208.0307335482539</v>
      </c>
      <c r="G67" s="46">
        <v>6680.0541909013782</v>
      </c>
      <c r="H67" s="46">
        <v>6681.4615257657269</v>
      </c>
      <c r="I67" s="104">
        <f t="shared" si="0"/>
        <v>2.1067716280898097E-4</v>
      </c>
    </row>
    <row r="68" spans="1:9" ht="15" x14ac:dyDescent="0.3">
      <c r="A68" s="74" t="s">
        <v>63</v>
      </c>
      <c r="B68" s="75">
        <v>861.33789067993575</v>
      </c>
      <c r="C68" s="75">
        <v>1124.7728814770489</v>
      </c>
      <c r="D68" s="75">
        <v>1205.1035683855466</v>
      </c>
      <c r="E68" s="75">
        <v>921.03361143042412</v>
      </c>
      <c r="F68" s="98">
        <v>1469.4618660844885</v>
      </c>
      <c r="G68" s="47">
        <v>1249.2812865663323</v>
      </c>
      <c r="H68" s="47">
        <v>1253.0362945958241</v>
      </c>
      <c r="I68" s="105">
        <f t="shared" si="0"/>
        <v>3.0057346330805146E-3</v>
      </c>
    </row>
    <row r="69" spans="1:9" ht="14.4" x14ac:dyDescent="0.3">
      <c r="A69" s="71" t="s">
        <v>56</v>
      </c>
      <c r="B69" s="72">
        <v>686.6937819485712</v>
      </c>
      <c r="C69" s="72">
        <v>766.8812851236936</v>
      </c>
      <c r="D69" s="72">
        <v>488.49916768654833</v>
      </c>
      <c r="E69" s="72">
        <v>247.55902230330329</v>
      </c>
      <c r="F69" s="97">
        <v>534.81455010207594</v>
      </c>
      <c r="G69" s="48">
        <v>468.77447261774819</v>
      </c>
      <c r="H69" s="48">
        <v>472.55131555235977</v>
      </c>
      <c r="I69" s="106">
        <f t="shared" si="0"/>
        <v>8.0568442934205731E-3</v>
      </c>
    </row>
    <row r="70" spans="1:9" ht="14.4" x14ac:dyDescent="0.3">
      <c r="A70" s="68" t="s">
        <v>57</v>
      </c>
      <c r="B70" s="69">
        <v>50.154925043941724</v>
      </c>
      <c r="C70" s="69">
        <v>137.00974613018505</v>
      </c>
      <c r="D70" s="69">
        <v>204.57507883269116</v>
      </c>
      <c r="E70" s="69">
        <v>58.387226261801601</v>
      </c>
      <c r="F70" s="96">
        <v>258.21009414776432</v>
      </c>
      <c r="G70" s="48">
        <v>64.007529903975154</v>
      </c>
      <c r="H70" s="48">
        <v>63.985694998855159</v>
      </c>
      <c r="I70" s="106">
        <f t="shared" si="0"/>
        <v>-3.4113025690496457E-4</v>
      </c>
    </row>
    <row r="71" spans="1:9" ht="14.4" x14ac:dyDescent="0.3">
      <c r="A71" s="71" t="s">
        <v>58</v>
      </c>
      <c r="B71" s="72">
        <v>96.301183687422849</v>
      </c>
      <c r="C71" s="72">
        <v>170.8677252231704</v>
      </c>
      <c r="D71" s="72">
        <v>446.53394686630719</v>
      </c>
      <c r="E71" s="72">
        <v>559.88459724031918</v>
      </c>
      <c r="F71" s="97">
        <v>586.08982183464821</v>
      </c>
      <c r="G71" s="48">
        <v>608.22928404460902</v>
      </c>
      <c r="H71" s="48">
        <v>608.22928404460902</v>
      </c>
      <c r="I71" s="106">
        <f t="shared" si="0"/>
        <v>0</v>
      </c>
    </row>
    <row r="72" spans="1:9" ht="14.4" x14ac:dyDescent="0.3">
      <c r="A72" s="68" t="s">
        <v>59</v>
      </c>
      <c r="B72" s="69">
        <v>28.187999999999992</v>
      </c>
      <c r="C72" s="69">
        <v>50.014125</v>
      </c>
      <c r="D72" s="69">
        <v>65.49537500000001</v>
      </c>
      <c r="E72" s="69">
        <v>55.202765624999991</v>
      </c>
      <c r="F72" s="96">
        <v>90.347399999999993</v>
      </c>
      <c r="G72" s="49">
        <v>108.27</v>
      </c>
      <c r="H72" s="49">
        <v>108.27000000000001</v>
      </c>
      <c r="I72" s="107">
        <f t="shared" si="0"/>
        <v>2.2204460492503131E-16</v>
      </c>
    </row>
    <row r="73" spans="1:9" ht="15" x14ac:dyDescent="0.3">
      <c r="A73" s="81" t="s">
        <v>60</v>
      </c>
      <c r="B73" s="82">
        <v>5327.7088044589836</v>
      </c>
      <c r="C73" s="82">
        <v>7796.9543792940658</v>
      </c>
      <c r="D73" s="82">
        <v>8300.4332588608086</v>
      </c>
      <c r="E73" s="82">
        <v>7081.8030773816026</v>
      </c>
      <c r="F73" s="100">
        <v>8677.492599632742</v>
      </c>
      <c r="G73" s="46">
        <v>7929.33547746771</v>
      </c>
      <c r="H73" s="46">
        <v>7934.497820361551</v>
      </c>
      <c r="I73" s="104">
        <f t="shared" si="0"/>
        <v>6.5104357212653063E-4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54</v>
      </c>
      <c r="C75" s="86">
        <v>54</v>
      </c>
      <c r="D75" s="86">
        <v>62</v>
      </c>
      <c r="E75" s="86">
        <v>62</v>
      </c>
      <c r="F75" s="86">
        <v>55</v>
      </c>
      <c r="G75" s="108">
        <v>55</v>
      </c>
      <c r="H75" s="108">
        <v>55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>
      <c r="A82" s="93"/>
      <c r="B82" s="93"/>
      <c r="C82" s="93"/>
      <c r="D82" s="93"/>
      <c r="E82" s="93"/>
      <c r="F82" s="93"/>
      <c r="G82" s="93"/>
      <c r="H82" s="93"/>
      <c r="I82" s="93"/>
    </row>
    <row r="83" spans="1:9" ht="12" hidden="1" customHeight="1" x14ac:dyDescent="0.3">
      <c r="A83" s="124"/>
      <c r="B83" s="124"/>
      <c r="C83" s="124"/>
      <c r="D83" s="124"/>
      <c r="E83" s="124"/>
      <c r="F83" s="124"/>
      <c r="G83" s="124"/>
      <c r="H83" s="93"/>
      <c r="I83" s="93"/>
    </row>
  </sheetData>
  <mergeCells count="5">
    <mergeCell ref="A2:I2"/>
    <mergeCell ref="A3:I3"/>
    <mergeCell ref="A4:I4"/>
    <mergeCell ref="A80:I80"/>
    <mergeCell ref="A83:G83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FE3D-2219-4E57-A6B5-C45148F78FA5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119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2501.6948757656132</v>
      </c>
      <c r="C9" s="64">
        <v>4335.6802817968046</v>
      </c>
      <c r="D9" s="63">
        <v>3614.5955586641808</v>
      </c>
      <c r="E9" s="63">
        <v>3281.7467677696404</v>
      </c>
      <c r="F9" s="99">
        <v>3711.8257438320479</v>
      </c>
      <c r="G9" s="46">
        <v>3869.3328371815478</v>
      </c>
      <c r="H9" s="46">
        <v>3858.1285239995009</v>
      </c>
      <c r="I9" s="104">
        <f>IFERROR(H9/G9-1,"-")</f>
        <v>-2.8956705596328014E-3</v>
      </c>
    </row>
    <row r="10" spans="1:9" ht="15" x14ac:dyDescent="0.3">
      <c r="A10" s="65" t="s">
        <v>3</v>
      </c>
      <c r="B10" s="66">
        <v>441.35208363839394</v>
      </c>
      <c r="C10" s="66">
        <v>788.20027800848072</v>
      </c>
      <c r="D10" s="66">
        <v>530.497535888313</v>
      </c>
      <c r="E10" s="66">
        <v>589.94860541255412</v>
      </c>
      <c r="F10" s="95">
        <v>411.75157581036308</v>
      </c>
      <c r="G10" s="47">
        <v>417.78248698202617</v>
      </c>
      <c r="H10" s="47">
        <v>402.68661533874376</v>
      </c>
      <c r="I10" s="105">
        <f t="shared" ref="I10:I73" si="0">IFERROR(H10/G10-1,"-")</f>
        <v>-3.6133328020357736E-2</v>
      </c>
    </row>
    <row r="11" spans="1:9" ht="14.4" x14ac:dyDescent="0.3">
      <c r="A11" s="68" t="s">
        <v>4</v>
      </c>
      <c r="B11" s="69">
        <v>435.37481507733378</v>
      </c>
      <c r="C11" s="69">
        <v>779.22654952205073</v>
      </c>
      <c r="D11" s="69">
        <v>466.23421483912449</v>
      </c>
      <c r="E11" s="69">
        <v>533.03610864852874</v>
      </c>
      <c r="F11" s="96">
        <v>411.75157581036308</v>
      </c>
      <c r="G11" s="48">
        <v>413.70051278458749</v>
      </c>
      <c r="H11" s="48">
        <v>398.70620380102656</v>
      </c>
      <c r="I11" s="106">
        <f t="shared" si="0"/>
        <v>-3.6244356775473552E-2</v>
      </c>
    </row>
    <row r="12" spans="1:9" ht="14.4" x14ac:dyDescent="0.3">
      <c r="A12" s="71" t="s">
        <v>5</v>
      </c>
      <c r="B12" s="72">
        <v>5.9772685610601348</v>
      </c>
      <c r="C12" s="72">
        <v>8.9737284864300282</v>
      </c>
      <c r="D12" s="72">
        <v>64.263321049188505</v>
      </c>
      <c r="E12" s="72">
        <v>56.912496764025342</v>
      </c>
      <c r="F12" s="97">
        <v>0</v>
      </c>
      <c r="G12" s="48">
        <v>4.0819741974386918</v>
      </c>
      <c r="H12" s="48">
        <v>3.9804115377172216</v>
      </c>
      <c r="I12" s="106">
        <f t="shared" si="0"/>
        <v>-2.4880769649449963E-2</v>
      </c>
    </row>
    <row r="13" spans="1:9" ht="15" x14ac:dyDescent="0.3">
      <c r="A13" s="74" t="s">
        <v>6</v>
      </c>
      <c r="B13" s="75">
        <v>1018.2228952347097</v>
      </c>
      <c r="C13" s="75">
        <v>2188.8406582575767</v>
      </c>
      <c r="D13" s="75">
        <v>1691.2212031596805</v>
      </c>
      <c r="E13" s="75">
        <v>1417.7179684502387</v>
      </c>
      <c r="F13" s="98">
        <v>1887.9495977219822</v>
      </c>
      <c r="G13" s="47">
        <v>1455.6899080635467</v>
      </c>
      <c r="H13" s="47">
        <v>1463.2161807569671</v>
      </c>
      <c r="I13" s="105">
        <f t="shared" si="0"/>
        <v>5.1702444674033288E-3</v>
      </c>
    </row>
    <row r="14" spans="1:9" ht="14.4" x14ac:dyDescent="0.3">
      <c r="A14" s="71" t="s">
        <v>7</v>
      </c>
      <c r="B14" s="72">
        <v>88.985995182022364</v>
      </c>
      <c r="C14" s="72">
        <v>131.36030666685502</v>
      </c>
      <c r="D14" s="72">
        <v>172.39298461223612</v>
      </c>
      <c r="E14" s="72">
        <v>158.33500126862819</v>
      </c>
      <c r="F14" s="97">
        <v>220.62987022637122</v>
      </c>
      <c r="G14" s="48">
        <v>355.85036657746201</v>
      </c>
      <c r="H14" s="48">
        <v>358.67967131563989</v>
      </c>
      <c r="I14" s="106">
        <f t="shared" si="0"/>
        <v>7.950827100137392E-3</v>
      </c>
    </row>
    <row r="15" spans="1:9" ht="14.4" x14ac:dyDescent="0.3">
      <c r="A15" s="68" t="s">
        <v>8</v>
      </c>
      <c r="B15" s="69">
        <v>910.80765823693514</v>
      </c>
      <c r="C15" s="69">
        <v>2031.1855553225109</v>
      </c>
      <c r="D15" s="69">
        <v>1477.4777550777978</v>
      </c>
      <c r="E15" s="69">
        <v>1204.5409493796496</v>
      </c>
      <c r="F15" s="96">
        <v>1604.7580419496796</v>
      </c>
      <c r="G15" s="48">
        <v>1078.1025478083254</v>
      </c>
      <c r="H15" s="48">
        <v>1082.6669411458486</v>
      </c>
      <c r="I15" s="106">
        <f t="shared" si="0"/>
        <v>4.2337283654529934E-3</v>
      </c>
    </row>
    <row r="16" spans="1:9" ht="14.4" x14ac:dyDescent="0.3">
      <c r="A16" s="71" t="s">
        <v>9</v>
      </c>
      <c r="B16" s="72">
        <v>18.429241815752121</v>
      </c>
      <c r="C16" s="72">
        <v>26.294796268210732</v>
      </c>
      <c r="D16" s="72">
        <v>41.350463469646485</v>
      </c>
      <c r="E16" s="72">
        <v>54.8420178019608</v>
      </c>
      <c r="F16" s="97">
        <v>62.561685545931432</v>
      </c>
      <c r="G16" s="48">
        <v>21.73699367775929</v>
      </c>
      <c r="H16" s="48">
        <v>21.869568295478814</v>
      </c>
      <c r="I16" s="106">
        <f t="shared" si="0"/>
        <v>6.0990318939628807E-3</v>
      </c>
    </row>
    <row r="17" spans="1:9" ht="15" x14ac:dyDescent="0.3">
      <c r="A17" s="74" t="s">
        <v>10</v>
      </c>
      <c r="B17" s="75">
        <v>837.32996007923805</v>
      </c>
      <c r="C17" s="75">
        <v>1101.6635139608061</v>
      </c>
      <c r="D17" s="75">
        <v>1086.8261140645393</v>
      </c>
      <c r="E17" s="75">
        <v>861.15293938073796</v>
      </c>
      <c r="F17" s="98">
        <v>957.84241676356919</v>
      </c>
      <c r="G17" s="47">
        <v>1571.5247584883314</v>
      </c>
      <c r="H17" s="47">
        <v>1568.7170772662766</v>
      </c>
      <c r="I17" s="105">
        <f t="shared" si="0"/>
        <v>-1.7865968747163841E-3</v>
      </c>
    </row>
    <row r="18" spans="1:9" ht="14.4" x14ac:dyDescent="0.3">
      <c r="A18" s="71" t="s">
        <v>11</v>
      </c>
      <c r="B18" s="72">
        <v>265.42580400326125</v>
      </c>
      <c r="C18" s="72">
        <v>317.96843038940642</v>
      </c>
      <c r="D18" s="72">
        <v>287.95942285902862</v>
      </c>
      <c r="E18" s="72">
        <v>279.04888642471235</v>
      </c>
      <c r="F18" s="97">
        <v>401.01583857536957</v>
      </c>
      <c r="G18" s="48">
        <v>821.55296836848333</v>
      </c>
      <c r="H18" s="48">
        <v>818.2604636653648</v>
      </c>
      <c r="I18" s="106">
        <f t="shared" si="0"/>
        <v>-4.0076596761096095E-3</v>
      </c>
    </row>
    <row r="19" spans="1:9" ht="14.4" x14ac:dyDescent="0.3">
      <c r="A19" s="68" t="s">
        <v>12</v>
      </c>
      <c r="B19" s="69">
        <v>146.54207607134467</v>
      </c>
      <c r="C19" s="69">
        <v>263.42910520497776</v>
      </c>
      <c r="D19" s="69">
        <v>267.70177421994208</v>
      </c>
      <c r="E19" s="69">
        <v>144.07075467388347</v>
      </c>
      <c r="F19" s="96">
        <v>154.15792763434953</v>
      </c>
      <c r="G19" s="48">
        <v>314.00526604197205</v>
      </c>
      <c r="H19" s="48">
        <v>314.72977334032902</v>
      </c>
      <c r="I19" s="106">
        <f t="shared" si="0"/>
        <v>2.3073093884360407E-3</v>
      </c>
    </row>
    <row r="20" spans="1:9" ht="14.4" x14ac:dyDescent="0.3">
      <c r="A20" s="71" t="s">
        <v>13</v>
      </c>
      <c r="B20" s="72">
        <v>355.19185227332781</v>
      </c>
      <c r="C20" s="72">
        <v>435.12608614926791</v>
      </c>
      <c r="D20" s="72">
        <v>485.50774933472394</v>
      </c>
      <c r="E20" s="72">
        <v>395.49882926763104</v>
      </c>
      <c r="F20" s="97">
        <v>341.65339288537382</v>
      </c>
      <c r="G20" s="48">
        <v>314.24617667597164</v>
      </c>
      <c r="H20" s="48">
        <v>313.24531053190043</v>
      </c>
      <c r="I20" s="106">
        <f t="shared" si="0"/>
        <v>-3.1849747693294406E-3</v>
      </c>
    </row>
    <row r="21" spans="1:9" ht="14.4" x14ac:dyDescent="0.3">
      <c r="A21" s="68" t="s">
        <v>14</v>
      </c>
      <c r="B21" s="69">
        <v>70.170227731304422</v>
      </c>
      <c r="C21" s="69">
        <v>85.139892217154014</v>
      </c>
      <c r="D21" s="69">
        <v>45.657167650844642</v>
      </c>
      <c r="E21" s="69">
        <v>42.534469014511103</v>
      </c>
      <c r="F21" s="96">
        <v>61.015257668476252</v>
      </c>
      <c r="G21" s="48">
        <v>121.72034740190436</v>
      </c>
      <c r="H21" s="48">
        <v>122.48152972868222</v>
      </c>
      <c r="I21" s="106">
        <f t="shared" si="0"/>
        <v>6.2535339655622746E-3</v>
      </c>
    </row>
    <row r="22" spans="1:9" ht="15" x14ac:dyDescent="0.3">
      <c r="A22" s="74" t="s">
        <v>129</v>
      </c>
      <c r="B22" s="75">
        <v>105.93077882716048</v>
      </c>
      <c r="C22" s="75">
        <v>158.1166735838294</v>
      </c>
      <c r="D22" s="75">
        <v>154.11192144053678</v>
      </c>
      <c r="E22" s="75">
        <v>151.59735392069524</v>
      </c>
      <c r="F22" s="112">
        <v>109.82248509509715</v>
      </c>
      <c r="G22" s="48">
        <v>138.95521087437049</v>
      </c>
      <c r="H22" s="48">
        <v>138.95561246866973</v>
      </c>
      <c r="I22" s="105">
        <f t="shared" si="0"/>
        <v>2.8900988793267857E-6</v>
      </c>
    </row>
    <row r="23" spans="1:9" ht="14.4" x14ac:dyDescent="0.3">
      <c r="A23" s="71" t="s">
        <v>15</v>
      </c>
      <c r="B23" s="72">
        <v>17.443994876543211</v>
      </c>
      <c r="C23" s="72">
        <v>26.037630181051593</v>
      </c>
      <c r="D23" s="72">
        <v>22.892445190492584</v>
      </c>
      <c r="E23" s="72">
        <v>22.518920556008172</v>
      </c>
      <c r="F23" s="113">
        <v>7.1704240345428376</v>
      </c>
      <c r="G23" s="48">
        <v>6.1493105186228059</v>
      </c>
      <c r="H23" s="48">
        <v>6.1493282907382447</v>
      </c>
      <c r="I23" s="106">
        <f>IFERROR(H23/G23-1,"-")</f>
        <v>2.8900988793267857E-6</v>
      </c>
    </row>
    <row r="24" spans="1:9" ht="15" x14ac:dyDescent="0.3">
      <c r="A24" s="68" t="s">
        <v>16</v>
      </c>
      <c r="B24" s="69">
        <v>27.723327160493824</v>
      </c>
      <c r="C24" s="69">
        <v>41.380987847222222</v>
      </c>
      <c r="D24" s="69">
        <v>43.46393397877543</v>
      </c>
      <c r="E24" s="69">
        <v>42.754754600269415</v>
      </c>
      <c r="F24" s="112">
        <v>35.232036333249006</v>
      </c>
      <c r="G24" s="48">
        <v>35.076946080787195</v>
      </c>
      <c r="H24" s="48">
        <v>35.077047456629757</v>
      </c>
      <c r="I24" s="106">
        <f t="shared" si="0"/>
        <v>2.8900988793267857E-6</v>
      </c>
    </row>
    <row r="25" spans="1:9" ht="14.4" x14ac:dyDescent="0.3">
      <c r="A25" s="71" t="s">
        <v>17</v>
      </c>
      <c r="B25" s="72">
        <v>20.887438271604939</v>
      </c>
      <c r="C25" s="72">
        <v>31.177456597222228</v>
      </c>
      <c r="D25" s="72">
        <v>24.575368341677081</v>
      </c>
      <c r="E25" s="72">
        <v>24.174384287734394</v>
      </c>
      <c r="F25" s="113">
        <v>21.195593058082604</v>
      </c>
      <c r="G25" s="48">
        <v>60.630567698321187</v>
      </c>
      <c r="H25" s="48">
        <v>60.630742926656957</v>
      </c>
      <c r="I25" s="106">
        <f t="shared" si="0"/>
        <v>2.8900988795488303E-6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39.876018518518514</v>
      </c>
      <c r="C27" s="72">
        <v>59.520598958333345</v>
      </c>
      <c r="D27" s="72">
        <v>63.180173929591696</v>
      </c>
      <c r="E27" s="72">
        <v>62.149294476683245</v>
      </c>
      <c r="F27" s="113">
        <v>46.224431669222696</v>
      </c>
      <c r="G27" s="48">
        <v>37.0983865766393</v>
      </c>
      <c r="H27" s="48">
        <v>37.098493794644774</v>
      </c>
      <c r="I27" s="106">
        <f t="shared" si="0"/>
        <v>2.8900988795488303E-6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78.75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78.75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98.859157986111114</v>
      </c>
      <c r="C31" s="66">
        <v>98.859157986111114</v>
      </c>
      <c r="D31" s="66">
        <v>151.93878411111106</v>
      </c>
      <c r="E31" s="66">
        <v>261.32990060541448</v>
      </c>
      <c r="F31" s="95">
        <v>265.7096684410364</v>
      </c>
      <c r="G31" s="47">
        <v>285.38047277327297</v>
      </c>
      <c r="H31" s="47">
        <v>284.5530381688435</v>
      </c>
      <c r="I31" s="105">
        <f t="shared" si="0"/>
        <v>-2.8994086259253038E-3</v>
      </c>
    </row>
    <row r="32" spans="1:9" ht="14.4" x14ac:dyDescent="0.3">
      <c r="A32" s="68" t="s">
        <v>21</v>
      </c>
      <c r="B32" s="69">
        <v>85.794921875</v>
      </c>
      <c r="C32" s="69">
        <v>85.794921875</v>
      </c>
      <c r="D32" s="69">
        <v>128.69489522222219</v>
      </c>
      <c r="E32" s="69">
        <v>238.0860117165256</v>
      </c>
      <c r="F32" s="96">
        <v>242.41800177436971</v>
      </c>
      <c r="G32" s="48">
        <v>253.88297277327297</v>
      </c>
      <c r="H32" s="48">
        <v>253.05553816884353</v>
      </c>
      <c r="I32" s="106">
        <f t="shared" si="0"/>
        <v>-3.2591181495592592E-3</v>
      </c>
    </row>
    <row r="33" spans="1:20" ht="14.4" x14ac:dyDescent="0.3">
      <c r="A33" s="71" t="s">
        <v>22</v>
      </c>
      <c r="B33" s="72">
        <v>13.064236111111112</v>
      </c>
      <c r="C33" s="72">
        <v>13.064236111111112</v>
      </c>
      <c r="D33" s="72">
        <v>23.243888888888879</v>
      </c>
      <c r="E33" s="72">
        <v>23.243888888888879</v>
      </c>
      <c r="F33" s="97">
        <v>23.291666666666668</v>
      </c>
      <c r="G33" s="48">
        <v>31.497500000000002</v>
      </c>
      <c r="H33" s="48">
        <v>31.497500000000002</v>
      </c>
      <c r="I33" s="106">
        <f t="shared" si="0"/>
        <v>0</v>
      </c>
    </row>
    <row r="34" spans="1:20" ht="15" x14ac:dyDescent="0.3">
      <c r="A34" s="74" t="s">
        <v>23</v>
      </c>
      <c r="B34" s="75">
        <v>99.749599206349203</v>
      </c>
      <c r="C34" s="75">
        <v>99.749599206349203</v>
      </c>
      <c r="D34" s="75">
        <v>260.7913023864071</v>
      </c>
      <c r="E34" s="75">
        <v>260.7913023864071</v>
      </c>
      <c r="F34" s="98">
        <v>199.04281746031748</v>
      </c>
      <c r="G34" s="47">
        <v>304.80012780952387</v>
      </c>
      <c r="H34" s="47">
        <v>304.80012780952387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97.132411706349203</v>
      </c>
      <c r="C35" s="72">
        <v>97.132411706349203</v>
      </c>
      <c r="D35" s="72">
        <v>255.88112738640709</v>
      </c>
      <c r="E35" s="72">
        <v>255.88112738640709</v>
      </c>
      <c r="F35" s="97">
        <v>195.46781746031749</v>
      </c>
      <c r="G35" s="48">
        <v>300.36612780952385</v>
      </c>
      <c r="H35" s="48">
        <v>300.36612780952385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2.6171875</v>
      </c>
      <c r="C36" s="69">
        <v>2.6171875</v>
      </c>
      <c r="D36" s="69">
        <v>4.9101750000000015</v>
      </c>
      <c r="E36" s="69">
        <v>4.9101750000000015</v>
      </c>
      <c r="F36" s="96">
        <v>3.5750000000000006</v>
      </c>
      <c r="G36" s="48">
        <v>4.4340000000000002</v>
      </c>
      <c r="H36" s="48">
        <v>4.4340000000000002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151.51015862777777</v>
      </c>
      <c r="C37" s="66">
        <v>173.71114442777781</v>
      </c>
      <c r="D37" s="66">
        <v>201.4146674264957</v>
      </c>
      <c r="E37" s="66">
        <v>224.76052096363165</v>
      </c>
      <c r="F37" s="95">
        <v>248.45427198521475</v>
      </c>
      <c r="G37" s="47">
        <v>239.35281383437095</v>
      </c>
      <c r="H37" s="47">
        <v>239.20821983437091</v>
      </c>
      <c r="I37" s="105">
        <f t="shared" si="0"/>
        <v>-6.0410403238497778E-4</v>
      </c>
    </row>
    <row r="38" spans="1:20" ht="14.4" x14ac:dyDescent="0.3">
      <c r="A38" s="68" t="s">
        <v>27</v>
      </c>
      <c r="B38" s="69">
        <v>17.543819444444445</v>
      </c>
      <c r="C38" s="69">
        <v>17.543819444444445</v>
      </c>
      <c r="D38" s="69">
        <v>26.963467111111125</v>
      </c>
      <c r="E38" s="69">
        <v>43.180353598247024</v>
      </c>
      <c r="F38" s="96">
        <v>55.910395966464684</v>
      </c>
      <c r="G38" s="48">
        <v>56.144445909370916</v>
      </c>
      <c r="H38" s="48">
        <v>55.999851909370911</v>
      </c>
      <c r="I38" s="106">
        <f t="shared" si="0"/>
        <v>-2.5753927687417466E-3</v>
      </c>
    </row>
    <row r="39" spans="1:20" ht="14.4" x14ac:dyDescent="0.3">
      <c r="A39" s="71" t="s">
        <v>28</v>
      </c>
      <c r="B39" s="72">
        <v>59.876039999999989</v>
      </c>
      <c r="C39" s="72">
        <v>70.372960000000006</v>
      </c>
      <c r="D39" s="72">
        <v>77.791629999999984</v>
      </c>
      <c r="E39" s="72">
        <v>81.162300000000016</v>
      </c>
      <c r="F39" s="97">
        <v>88.991070000000022</v>
      </c>
      <c r="G39" s="48">
        <v>84.734520000000018</v>
      </c>
      <c r="H39" s="48">
        <v>84.734520000000018</v>
      </c>
      <c r="I39" s="106">
        <f t="shared" si="0"/>
        <v>0</v>
      </c>
    </row>
    <row r="40" spans="1:20" ht="14.4" x14ac:dyDescent="0.3">
      <c r="A40" s="68" t="s">
        <v>29</v>
      </c>
      <c r="B40" s="69">
        <v>59.876039999999989</v>
      </c>
      <c r="C40" s="69">
        <v>70.372960000000006</v>
      </c>
      <c r="D40" s="69">
        <v>77.791629999999984</v>
      </c>
      <c r="E40" s="69">
        <v>81.162300000000016</v>
      </c>
      <c r="F40" s="96">
        <v>88.991070000000022</v>
      </c>
      <c r="G40" s="48">
        <v>84.734520000000018</v>
      </c>
      <c r="H40" s="48">
        <v>84.734520000000018</v>
      </c>
      <c r="I40" s="106">
        <f t="shared" si="0"/>
        <v>0</v>
      </c>
    </row>
    <row r="41" spans="1:20" ht="14.4" x14ac:dyDescent="0.3">
      <c r="A41" s="71" t="s">
        <v>30</v>
      </c>
      <c r="B41" s="72">
        <v>0.92226458333333372</v>
      </c>
      <c r="C41" s="72">
        <v>0.92226458333333372</v>
      </c>
      <c r="D41" s="72">
        <v>1.8460028653846157</v>
      </c>
      <c r="E41" s="72">
        <v>1.8460028653846157</v>
      </c>
      <c r="F41" s="97">
        <v>1.4027629687500001</v>
      </c>
      <c r="G41" s="48">
        <v>1.294858125</v>
      </c>
      <c r="H41" s="48">
        <v>1.294858125</v>
      </c>
      <c r="I41" s="106">
        <f t="shared" si="0"/>
        <v>0</v>
      </c>
    </row>
    <row r="42" spans="1:20" ht="14.4" x14ac:dyDescent="0.3">
      <c r="A42" s="68" t="s">
        <v>31</v>
      </c>
      <c r="B42" s="69">
        <v>6.8857445999999998</v>
      </c>
      <c r="C42" s="69">
        <v>8.0928904000000017</v>
      </c>
      <c r="D42" s="69">
        <v>8.9460374499999968</v>
      </c>
      <c r="E42" s="69">
        <v>9.3336644999999976</v>
      </c>
      <c r="F42" s="96">
        <v>10.233973050000001</v>
      </c>
      <c r="G42" s="48">
        <v>9.744469800000001</v>
      </c>
      <c r="H42" s="48">
        <v>9.744469800000001</v>
      </c>
      <c r="I42" s="106">
        <f t="shared" si="0"/>
        <v>0</v>
      </c>
    </row>
    <row r="43" spans="1:20" ht="14.4" x14ac:dyDescent="0.3">
      <c r="A43" s="71" t="s">
        <v>32</v>
      </c>
      <c r="B43" s="72">
        <v>6.40625</v>
      </c>
      <c r="C43" s="72">
        <v>6.40625</v>
      </c>
      <c r="D43" s="72">
        <v>8.0759000000000007</v>
      </c>
      <c r="E43" s="72">
        <v>8.0759000000000007</v>
      </c>
      <c r="F43" s="97">
        <v>2.9250000000000003</v>
      </c>
      <c r="G43" s="48">
        <v>2.7</v>
      </c>
      <c r="H43" s="48">
        <v>2.7</v>
      </c>
      <c r="I43" s="106">
        <f t="shared" si="0"/>
        <v>0</v>
      </c>
    </row>
    <row r="44" spans="1:20" ht="15" x14ac:dyDescent="0.3">
      <c r="A44" s="74" t="s">
        <v>33</v>
      </c>
      <c r="B44" s="75">
        <v>379.65524827402544</v>
      </c>
      <c r="C44" s="75">
        <v>583.43760851501531</v>
      </c>
      <c r="D44" s="75">
        <v>401.0285688946459</v>
      </c>
      <c r="E44" s="75">
        <v>358.0541281251289</v>
      </c>
      <c r="F44" s="98">
        <v>424.86559586939183</v>
      </c>
      <c r="G44" s="47">
        <v>605.54921087616549</v>
      </c>
      <c r="H44" s="47">
        <v>602.29663214512425</v>
      </c>
      <c r="I44" s="105">
        <f t="shared" si="0"/>
        <v>-5.3712872093997222E-3</v>
      </c>
    </row>
    <row r="45" spans="1:20" ht="14.4" x14ac:dyDescent="0.3">
      <c r="A45" s="71" t="s">
        <v>34</v>
      </c>
      <c r="B45" s="72">
        <v>333.34479174731945</v>
      </c>
      <c r="C45" s="72">
        <v>518.03422639736198</v>
      </c>
      <c r="D45" s="72">
        <v>358.96887998836957</v>
      </c>
      <c r="E45" s="72">
        <v>315.93905436084577</v>
      </c>
      <c r="F45" s="97">
        <v>388.65734146807813</v>
      </c>
      <c r="G45" s="48">
        <v>555.12331614349705</v>
      </c>
      <c r="H45" s="48">
        <v>553.29227259726417</v>
      </c>
      <c r="I45" s="106">
        <f t="shared" si="0"/>
        <v>-3.2984446752359897E-3</v>
      </c>
    </row>
    <row r="46" spans="1:20" ht="14.4" x14ac:dyDescent="0.3">
      <c r="A46" s="68" t="s">
        <v>35</v>
      </c>
      <c r="B46" s="69">
        <v>34.460700564822162</v>
      </c>
      <c r="C46" s="69">
        <v>53.553626155769486</v>
      </c>
      <c r="D46" s="69">
        <v>0</v>
      </c>
      <c r="E46" s="69">
        <v>0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11.849755961883844</v>
      </c>
      <c r="C47" s="72">
        <v>11.849755961883844</v>
      </c>
      <c r="D47" s="72">
        <v>42.059688906276342</v>
      </c>
      <c r="E47" s="72">
        <v>42.115073764283125</v>
      </c>
      <c r="F47" s="97">
        <v>36.20825440131371</v>
      </c>
      <c r="G47" s="48">
        <v>50.425894732668432</v>
      </c>
      <c r="H47" s="48">
        <v>49.004359547860119</v>
      </c>
      <c r="I47" s="106">
        <f t="shared" si="0"/>
        <v>-2.8190579311374586E-2</v>
      </c>
    </row>
    <row r="48" spans="1:20" ht="15" x14ac:dyDescent="0.3">
      <c r="A48" s="74" t="s">
        <v>37</v>
      </c>
      <c r="B48" s="75">
        <v>182.6495217121014</v>
      </c>
      <c r="C48" s="75">
        <v>182.6495217121014</v>
      </c>
      <c r="D48" s="75">
        <v>177.40824478880575</v>
      </c>
      <c r="E48" s="75">
        <v>146.068397045631</v>
      </c>
      <c r="F48" s="98">
        <v>219.59999999999994</v>
      </c>
      <c r="G48" s="47">
        <v>231.9768</v>
      </c>
      <c r="H48" s="47">
        <v>231.9768</v>
      </c>
      <c r="I48" s="105">
        <f t="shared" si="0"/>
        <v>0</v>
      </c>
    </row>
    <row r="49" spans="1:9" ht="14.4" x14ac:dyDescent="0.3">
      <c r="A49" s="71" t="s">
        <v>62</v>
      </c>
      <c r="B49" s="72">
        <v>63.929521712101412</v>
      </c>
      <c r="C49" s="72">
        <v>63.929521712101412</v>
      </c>
      <c r="D49" s="72">
        <v>0</v>
      </c>
      <c r="E49" s="72">
        <v>0</v>
      </c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40.32</v>
      </c>
      <c r="C50" s="69">
        <v>40.32</v>
      </c>
      <c r="D50" s="69">
        <v>0</v>
      </c>
      <c r="E50" s="69">
        <v>0</v>
      </c>
      <c r="F50" s="96">
        <v>0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78.399999999999991</v>
      </c>
      <c r="C51" s="72">
        <v>78.399999999999991</v>
      </c>
      <c r="D51" s="72">
        <v>177.40824478880575</v>
      </c>
      <c r="E51" s="72">
        <v>146.068397045631</v>
      </c>
      <c r="F51" s="97">
        <v>219.59999999999994</v>
      </c>
      <c r="G51" s="48">
        <v>231.9768</v>
      </c>
      <c r="H51" s="48">
        <v>231.9768</v>
      </c>
      <c r="I51" s="106">
        <f t="shared" si="0"/>
        <v>0</v>
      </c>
    </row>
    <row r="52" spans="1:9" ht="15" x14ac:dyDescent="0.3">
      <c r="A52" s="74" t="s">
        <v>40</v>
      </c>
      <c r="B52" s="75">
        <v>81.21659930904751</v>
      </c>
      <c r="C52" s="75">
        <v>97.118427219186856</v>
      </c>
      <c r="D52" s="75">
        <v>123.67923647736716</v>
      </c>
      <c r="E52" s="75">
        <v>121.77675609181151</v>
      </c>
      <c r="F52" s="98">
        <v>103.19733071354236</v>
      </c>
      <c r="G52" s="47">
        <v>104.17029994765613</v>
      </c>
      <c r="H52" s="47">
        <v>104.37729768109824</v>
      </c>
      <c r="I52" s="105">
        <f t="shared" si="0"/>
        <v>1.9871089316831902E-3</v>
      </c>
    </row>
    <row r="53" spans="1:9" ht="14.4" x14ac:dyDescent="0.3">
      <c r="A53" s="71" t="s">
        <v>41</v>
      </c>
      <c r="B53" s="72">
        <v>17.316934957195674</v>
      </c>
      <c r="C53" s="72">
        <v>26.911369927520202</v>
      </c>
      <c r="D53" s="72">
        <v>14.972975403006117</v>
      </c>
      <c r="E53" s="72">
        <v>13.178155415442207</v>
      </c>
      <c r="F53" s="97">
        <v>14.582049748638726</v>
      </c>
      <c r="G53" s="48">
        <v>5.8434033278263007</v>
      </c>
      <c r="H53" s="48">
        <v>5.8241291852343755</v>
      </c>
      <c r="I53" s="106">
        <f t="shared" si="0"/>
        <v>-3.2984446752359897E-3</v>
      </c>
    </row>
    <row r="54" spans="1:9" ht="14.4" x14ac:dyDescent="0.3">
      <c r="A54" s="68" t="s">
        <v>42</v>
      </c>
      <c r="B54" s="69">
        <v>13.253831018518518</v>
      </c>
      <c r="C54" s="69">
        <v>19.561223958333329</v>
      </c>
      <c r="D54" s="69">
        <v>13.129861074361076</v>
      </c>
      <c r="E54" s="69">
        <v>13.022200676369335</v>
      </c>
      <c r="F54" s="96">
        <v>16.993080964903626</v>
      </c>
      <c r="G54" s="48">
        <v>14.776896619829827</v>
      </c>
      <c r="H54" s="48">
        <v>14.780688495863862</v>
      </c>
      <c r="I54" s="106">
        <f t="shared" si="0"/>
        <v>2.5660841593388994E-4</v>
      </c>
    </row>
    <row r="55" spans="1:9" ht="14.4" x14ac:dyDescent="0.3">
      <c r="A55" s="71" t="s">
        <v>43</v>
      </c>
      <c r="B55" s="72">
        <v>50.645833333333321</v>
      </c>
      <c r="C55" s="72">
        <v>50.645833333333321</v>
      </c>
      <c r="D55" s="72">
        <v>95.576399999999964</v>
      </c>
      <c r="E55" s="72">
        <v>95.576399999999964</v>
      </c>
      <c r="F55" s="97">
        <v>71.622200000000007</v>
      </c>
      <c r="G55" s="48">
        <v>83.55</v>
      </c>
      <c r="H55" s="48">
        <v>83.772480000000002</v>
      </c>
      <c r="I55" s="106">
        <f t="shared" si="0"/>
        <v>2.6628366247756219E-3</v>
      </c>
    </row>
    <row r="56" spans="1:9" s="4" customFormat="1" ht="15" x14ac:dyDescent="0.3">
      <c r="A56" s="74" t="s">
        <v>44</v>
      </c>
      <c r="B56" s="75">
        <v>250.06742386460758</v>
      </c>
      <c r="C56" s="75">
        <v>278.47299678296844</v>
      </c>
      <c r="D56" s="75">
        <v>453.71648810930202</v>
      </c>
      <c r="E56" s="75">
        <v>373.56572807646995</v>
      </c>
      <c r="F56" s="98">
        <v>481.56845702786927</v>
      </c>
      <c r="G56" s="47">
        <v>383.12461946627047</v>
      </c>
      <c r="H56" s="47">
        <v>378.05265379865716</v>
      </c>
      <c r="I56" s="105">
        <f t="shared" si="0"/>
        <v>-1.3238422721774001E-2</v>
      </c>
    </row>
    <row r="57" spans="1:9" ht="14.4" x14ac:dyDescent="0.3">
      <c r="A57" s="71" t="s">
        <v>45</v>
      </c>
      <c r="B57" s="72">
        <v>250.06742386460758</v>
      </c>
      <c r="C57" s="72">
        <v>278.47299678296844</v>
      </c>
      <c r="D57" s="72">
        <v>453.71648810930202</v>
      </c>
      <c r="E57" s="72">
        <v>373.56572807646995</v>
      </c>
      <c r="F57" s="97">
        <v>481.56845702786927</v>
      </c>
      <c r="G57" s="48">
        <v>383.12461946627047</v>
      </c>
      <c r="H57" s="48">
        <v>378.05265379865716</v>
      </c>
      <c r="I57" s="106">
        <f t="shared" si="0"/>
        <v>-1.3238422721774001E-2</v>
      </c>
    </row>
    <row r="58" spans="1:9" ht="15" x14ac:dyDescent="0.3">
      <c r="A58" s="62" t="s">
        <v>46</v>
      </c>
      <c r="B58" s="63">
        <v>3646.5434267595219</v>
      </c>
      <c r="C58" s="63">
        <v>5750.8195796602031</v>
      </c>
      <c r="D58" s="63">
        <v>5232.6340667472041</v>
      </c>
      <c r="E58" s="63">
        <v>4766.7636004587202</v>
      </c>
      <c r="F58" s="99">
        <v>5388.554216888384</v>
      </c>
      <c r="G58" s="46">
        <v>5738.3067091155344</v>
      </c>
      <c r="H58" s="46">
        <v>5718.8402552682746</v>
      </c>
      <c r="I58" s="104">
        <f t="shared" si="0"/>
        <v>-3.3923690095436498E-3</v>
      </c>
    </row>
    <row r="59" spans="1:9" ht="15" x14ac:dyDescent="0.3">
      <c r="A59" s="65" t="s">
        <v>47</v>
      </c>
      <c r="B59" s="66">
        <v>176.67986013288166</v>
      </c>
      <c r="C59" s="66">
        <v>176.67986013288166</v>
      </c>
      <c r="D59" s="66">
        <v>540.89048182105535</v>
      </c>
      <c r="E59" s="66">
        <v>541.38457771782828</v>
      </c>
      <c r="F59" s="95">
        <v>519.54735710939838</v>
      </c>
      <c r="G59" s="47">
        <v>768.99632187430382</v>
      </c>
      <c r="H59" s="47">
        <v>748.74011937920091</v>
      </c>
      <c r="I59" s="105">
        <f t="shared" si="0"/>
        <v>-2.6341091522689819E-2</v>
      </c>
    </row>
    <row r="60" spans="1:9" ht="14.4" x14ac:dyDescent="0.3">
      <c r="A60" s="68" t="s">
        <v>48</v>
      </c>
      <c r="B60" s="69">
        <v>94.393460015590719</v>
      </c>
      <c r="C60" s="69">
        <v>94.393460015590719</v>
      </c>
      <c r="D60" s="69">
        <v>361.36094359606994</v>
      </c>
      <c r="E60" s="69">
        <v>361.85503949284293</v>
      </c>
      <c r="F60" s="96">
        <v>373.46708661507188</v>
      </c>
      <c r="G60" s="48">
        <v>532.72801725891918</v>
      </c>
      <c r="H60" s="48">
        <v>517.34209467270011</v>
      </c>
      <c r="I60" s="106">
        <f t="shared" si="0"/>
        <v>-2.8881384285709744E-2</v>
      </c>
    </row>
    <row r="61" spans="1:9" ht="14.4" x14ac:dyDescent="0.3">
      <c r="A61" s="71" t="s">
        <v>49</v>
      </c>
      <c r="B61" s="72">
        <v>50.442650117290931</v>
      </c>
      <c r="C61" s="72">
        <v>50.442650117290931</v>
      </c>
      <c r="D61" s="72">
        <v>132.47803822498531</v>
      </c>
      <c r="E61" s="72">
        <v>132.47803822498531</v>
      </c>
      <c r="F61" s="97">
        <v>111.55227049432658</v>
      </c>
      <c r="G61" s="48">
        <v>169.14030461538474</v>
      </c>
      <c r="H61" s="48">
        <v>164.27002470650086</v>
      </c>
      <c r="I61" s="106">
        <f t="shared" si="0"/>
        <v>-2.8794319130254653E-2</v>
      </c>
    </row>
    <row r="62" spans="1:9" ht="14.4" x14ac:dyDescent="0.3">
      <c r="A62" s="68" t="s">
        <v>50</v>
      </c>
      <c r="B62" s="69">
        <v>3.875</v>
      </c>
      <c r="C62" s="69">
        <v>3.875</v>
      </c>
      <c r="D62" s="69">
        <v>5.5600000000000014</v>
      </c>
      <c r="E62" s="69">
        <v>5.5600000000000014</v>
      </c>
      <c r="F62" s="96">
        <v>5.46</v>
      </c>
      <c r="G62" s="48">
        <v>5.04</v>
      </c>
      <c r="H62" s="48">
        <v>5.04</v>
      </c>
      <c r="I62" s="106">
        <f t="shared" si="0"/>
        <v>0</v>
      </c>
    </row>
    <row r="63" spans="1:9" ht="14.4" x14ac:dyDescent="0.3">
      <c r="A63" s="71" t="s">
        <v>51</v>
      </c>
      <c r="B63" s="72">
        <v>17.5</v>
      </c>
      <c r="C63" s="72">
        <v>17.5</v>
      </c>
      <c r="D63" s="72">
        <v>21.850799999999996</v>
      </c>
      <c r="E63" s="72">
        <v>21.850799999999996</v>
      </c>
      <c r="F63" s="97">
        <v>14.768000000000001</v>
      </c>
      <c r="G63" s="48">
        <v>44.351999999999997</v>
      </c>
      <c r="H63" s="48">
        <v>44.351999999999997</v>
      </c>
      <c r="I63" s="106">
        <f t="shared" si="0"/>
        <v>0</v>
      </c>
    </row>
    <row r="64" spans="1:9" ht="14.4" x14ac:dyDescent="0.3">
      <c r="A64" s="68" t="s">
        <v>52</v>
      </c>
      <c r="B64" s="69">
        <v>10.46875</v>
      </c>
      <c r="C64" s="69">
        <v>10.46875</v>
      </c>
      <c r="D64" s="69">
        <v>19.640700000000006</v>
      </c>
      <c r="E64" s="69">
        <v>19.640700000000006</v>
      </c>
      <c r="F64" s="96">
        <v>14.300000000000002</v>
      </c>
      <c r="G64" s="48">
        <v>17.736000000000001</v>
      </c>
      <c r="H64" s="48">
        <v>17.736000000000001</v>
      </c>
      <c r="I64" s="106">
        <f t="shared" si="0"/>
        <v>0</v>
      </c>
    </row>
    <row r="65" spans="1:9" ht="15" x14ac:dyDescent="0.3">
      <c r="A65" s="65" t="s">
        <v>53</v>
      </c>
      <c r="B65" s="66">
        <v>100</v>
      </c>
      <c r="C65" s="66">
        <v>100</v>
      </c>
      <c r="D65" s="66">
        <v>125.09999999999998</v>
      </c>
      <c r="E65" s="66">
        <v>125.09999999999998</v>
      </c>
      <c r="F65" s="95">
        <v>104.91956602964912</v>
      </c>
      <c r="G65" s="47">
        <v>256.00972923563432</v>
      </c>
      <c r="H65" s="47">
        <v>255.57956807606178</v>
      </c>
      <c r="I65" s="105">
        <f t="shared" si="0"/>
        <v>-1.6802531718497216E-3</v>
      </c>
    </row>
    <row r="66" spans="1:9" ht="14.4" x14ac:dyDescent="0.3">
      <c r="A66" s="68" t="s">
        <v>54</v>
      </c>
      <c r="B66" s="69">
        <v>100</v>
      </c>
      <c r="C66" s="69">
        <v>100</v>
      </c>
      <c r="D66" s="69">
        <v>125.09999999999998</v>
      </c>
      <c r="E66" s="69">
        <v>125.09999999999998</v>
      </c>
      <c r="F66" s="96">
        <v>104.91956602964912</v>
      </c>
      <c r="G66" s="48">
        <v>256.00972923563432</v>
      </c>
      <c r="H66" s="48">
        <v>255.57956807606178</v>
      </c>
      <c r="I66" s="106">
        <f t="shared" si="0"/>
        <v>-1.6802531718497216E-3</v>
      </c>
    </row>
    <row r="67" spans="1:9" ht="15" x14ac:dyDescent="0.3">
      <c r="A67" s="78" t="s">
        <v>55</v>
      </c>
      <c r="B67" s="79">
        <v>3923.2232868924034</v>
      </c>
      <c r="C67" s="79">
        <v>6027.499439793085</v>
      </c>
      <c r="D67" s="79">
        <v>5898.6245485682593</v>
      </c>
      <c r="E67" s="79">
        <v>5433.2481781765482</v>
      </c>
      <c r="F67" s="100">
        <v>6013.0211400274311</v>
      </c>
      <c r="G67" s="46">
        <v>6763.3127602254726</v>
      </c>
      <c r="H67" s="46">
        <v>6723.1599427235378</v>
      </c>
      <c r="I67" s="104">
        <f t="shared" si="0"/>
        <v>-5.9368565265930373E-3</v>
      </c>
    </row>
    <row r="68" spans="1:9" ht="15" x14ac:dyDescent="0.3">
      <c r="A68" s="74" t="s">
        <v>63</v>
      </c>
      <c r="B68" s="75">
        <v>373.58228662642165</v>
      </c>
      <c r="C68" s="75">
        <v>450.55750609955822</v>
      </c>
      <c r="D68" s="75">
        <v>983.84626762788014</v>
      </c>
      <c r="E68" s="75">
        <v>797.86479490313639</v>
      </c>
      <c r="F68" s="98">
        <v>1101.652246917429</v>
      </c>
      <c r="G68" s="47">
        <v>1285.73042186622</v>
      </c>
      <c r="H68" s="47">
        <v>1259.4229292582484</v>
      </c>
      <c r="I68" s="105">
        <f t="shared" si="0"/>
        <v>-2.0461126345433067E-2</v>
      </c>
    </row>
    <row r="69" spans="1:9" ht="14.4" x14ac:dyDescent="0.3">
      <c r="A69" s="71" t="s">
        <v>56</v>
      </c>
      <c r="B69" s="72">
        <v>250.06742386460758</v>
      </c>
      <c r="C69" s="72">
        <v>278.47299678296844</v>
      </c>
      <c r="D69" s="72">
        <v>254.89690343219218</v>
      </c>
      <c r="E69" s="72">
        <v>209.86838655981464</v>
      </c>
      <c r="F69" s="97">
        <v>481.56845702786927</v>
      </c>
      <c r="G69" s="48">
        <v>383.12461946627047</v>
      </c>
      <c r="H69" s="48">
        <v>378.05265379865716</v>
      </c>
      <c r="I69" s="106">
        <f t="shared" si="0"/>
        <v>-1.3238422721774001E-2</v>
      </c>
    </row>
    <row r="70" spans="1:9" ht="14.4" x14ac:dyDescent="0.3">
      <c r="A70" s="68" t="s">
        <v>57</v>
      </c>
      <c r="B70" s="69">
        <v>0</v>
      </c>
      <c r="C70" s="69">
        <v>0</v>
      </c>
      <c r="D70" s="69">
        <v>102.06363559879107</v>
      </c>
      <c r="E70" s="69">
        <v>73.698387144246809</v>
      </c>
      <c r="F70" s="96">
        <v>89.806442139090791</v>
      </c>
      <c r="G70" s="48">
        <v>58.434033278263563</v>
      </c>
      <c r="H70" s="48">
        <v>58.241291852344304</v>
      </c>
      <c r="I70" s="106">
        <f t="shared" si="0"/>
        <v>-3.2984446752361007E-3</v>
      </c>
    </row>
    <row r="71" spans="1:9" ht="14.4" x14ac:dyDescent="0.3">
      <c r="A71" s="71" t="s">
        <v>58</v>
      </c>
      <c r="B71" s="72">
        <v>102.57736276181406</v>
      </c>
      <c r="C71" s="72">
        <v>142.9137736395065</v>
      </c>
      <c r="D71" s="72">
        <v>559.98459422189694</v>
      </c>
      <c r="E71" s="72">
        <v>459.46773369907493</v>
      </c>
      <c r="F71" s="97">
        <v>482.01484775046896</v>
      </c>
      <c r="G71" s="48">
        <v>777.66176912168612</v>
      </c>
      <c r="H71" s="48">
        <v>756.61898360724683</v>
      </c>
      <c r="I71" s="106">
        <f t="shared" si="0"/>
        <v>-2.7059045911702273E-2</v>
      </c>
    </row>
    <row r="72" spans="1:9" ht="14.4" x14ac:dyDescent="0.3">
      <c r="A72" s="68" t="s">
        <v>59</v>
      </c>
      <c r="B72" s="69">
        <v>20.9375</v>
      </c>
      <c r="C72" s="69">
        <v>29.170735677083332</v>
      </c>
      <c r="D72" s="69">
        <v>66.901134374999998</v>
      </c>
      <c r="E72" s="69">
        <v>54.830287500000004</v>
      </c>
      <c r="F72" s="96">
        <v>48.26250000000001</v>
      </c>
      <c r="G72" s="49">
        <v>66.509999999999991</v>
      </c>
      <c r="H72" s="49">
        <v>66.509999999999991</v>
      </c>
      <c r="I72" s="107">
        <f t="shared" si="0"/>
        <v>0</v>
      </c>
    </row>
    <row r="73" spans="1:9" ht="15" x14ac:dyDescent="0.3">
      <c r="A73" s="81" t="s">
        <v>60</v>
      </c>
      <c r="B73" s="82">
        <v>4296.8055735188254</v>
      </c>
      <c r="C73" s="82">
        <v>6478.0569458926429</v>
      </c>
      <c r="D73" s="82">
        <v>6882.4708161961398</v>
      </c>
      <c r="E73" s="82">
        <v>6231.1129730796847</v>
      </c>
      <c r="F73" s="100">
        <v>7114.6733869448599</v>
      </c>
      <c r="G73" s="46">
        <v>8049.0431820916929</v>
      </c>
      <c r="H73" s="46">
        <v>7982.5828719817864</v>
      </c>
      <c r="I73" s="104">
        <f t="shared" si="0"/>
        <v>-8.2569205564425596E-3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56</v>
      </c>
      <c r="C75" s="86">
        <v>56</v>
      </c>
      <c r="D75" s="86">
        <v>58</v>
      </c>
      <c r="E75" s="86">
        <v>58</v>
      </c>
      <c r="F75" s="86">
        <v>61</v>
      </c>
      <c r="G75" s="108">
        <v>61</v>
      </c>
      <c r="H75" s="108">
        <v>61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/>
    <row r="83" spans="1:9" ht="17.25" hidden="1" customHeight="1" x14ac:dyDescent="0.3">
      <c r="A83" s="125"/>
      <c r="B83" s="125"/>
      <c r="C83" s="125"/>
      <c r="D83" s="125"/>
      <c r="E83" s="125"/>
      <c r="F83" s="125"/>
      <c r="G83" s="125"/>
    </row>
  </sheetData>
  <mergeCells count="5">
    <mergeCell ref="A2:I2"/>
    <mergeCell ref="A3:I3"/>
    <mergeCell ref="A4:I4"/>
    <mergeCell ref="A80:I80"/>
    <mergeCell ref="A83:G83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E93B-005D-4D4D-9AB5-401A15A350EA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120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2766.9227565001897</v>
      </c>
      <c r="C9" s="64">
        <v>4675.9025834025651</v>
      </c>
      <c r="D9" s="63">
        <v>3756.9591273541455</v>
      </c>
      <c r="E9" s="63">
        <v>5171.2315155326751</v>
      </c>
      <c r="F9" s="99">
        <v>5272.9432762964907</v>
      </c>
      <c r="G9" s="46">
        <v>4597.425032029234</v>
      </c>
      <c r="H9" s="46">
        <v>4583.9426436204894</v>
      </c>
      <c r="I9" s="104">
        <f>IFERROR(H9/G9-1,"-")</f>
        <v>-2.9325955974954798E-3</v>
      </c>
    </row>
    <row r="10" spans="1:9" ht="15" x14ac:dyDescent="0.3">
      <c r="A10" s="65" t="s">
        <v>3</v>
      </c>
      <c r="B10" s="66">
        <v>519.51877036411395</v>
      </c>
      <c r="C10" s="66">
        <v>916.64475810301155</v>
      </c>
      <c r="D10" s="66">
        <v>757.41540382555513</v>
      </c>
      <c r="E10" s="66">
        <v>810.40817027737091</v>
      </c>
      <c r="F10" s="95">
        <v>560.3437991737776</v>
      </c>
      <c r="G10" s="47">
        <v>495.60490814467954</v>
      </c>
      <c r="H10" s="47">
        <v>476.63080372119219</v>
      </c>
      <c r="I10" s="105">
        <f t="shared" ref="I10:I73" si="0">IFERROR(H10/G10-1,"-")</f>
        <v>-3.8284738733758372E-2</v>
      </c>
    </row>
    <row r="11" spans="1:9" ht="14.4" x14ac:dyDescent="0.3">
      <c r="A11" s="68" t="s">
        <v>4</v>
      </c>
      <c r="B11" s="69">
        <v>458.98099437769685</v>
      </c>
      <c r="C11" s="69">
        <v>825.75883599244821</v>
      </c>
      <c r="D11" s="69">
        <v>634.81609025859029</v>
      </c>
      <c r="E11" s="69">
        <v>684.53115439304634</v>
      </c>
      <c r="F11" s="96">
        <v>528.10817768892377</v>
      </c>
      <c r="G11" s="48">
        <v>484.66370449683001</v>
      </c>
      <c r="H11" s="48">
        <v>466.37025603210895</v>
      </c>
      <c r="I11" s="106">
        <f t="shared" si="0"/>
        <v>-3.7744622291683738E-2</v>
      </c>
    </row>
    <row r="12" spans="1:9" ht="14.4" x14ac:dyDescent="0.3">
      <c r="A12" s="71" t="s">
        <v>5</v>
      </c>
      <c r="B12" s="72">
        <v>60.537775986417053</v>
      </c>
      <c r="C12" s="72">
        <v>90.885922110563357</v>
      </c>
      <c r="D12" s="72">
        <v>122.59931356696482</v>
      </c>
      <c r="E12" s="72">
        <v>125.87701588432454</v>
      </c>
      <c r="F12" s="97">
        <v>32.235621484853844</v>
      </c>
      <c r="G12" s="48">
        <v>10.941203647849528</v>
      </c>
      <c r="H12" s="48">
        <v>10.260547689083248</v>
      </c>
      <c r="I12" s="106">
        <f t="shared" si="0"/>
        <v>-6.2210336328038407E-2</v>
      </c>
    </row>
    <row r="13" spans="1:9" ht="15" x14ac:dyDescent="0.3">
      <c r="A13" s="74" t="s">
        <v>6</v>
      </c>
      <c r="B13" s="75">
        <v>1107.7814022928626</v>
      </c>
      <c r="C13" s="75">
        <v>2270.4816373582412</v>
      </c>
      <c r="D13" s="75">
        <v>1603.7797241383278</v>
      </c>
      <c r="E13" s="75">
        <v>2711.1986642692859</v>
      </c>
      <c r="F13" s="98">
        <v>2786.1826174346202</v>
      </c>
      <c r="G13" s="47">
        <v>2549.0853654576745</v>
      </c>
      <c r="H13" s="47">
        <v>2554.9225881550874</v>
      </c>
      <c r="I13" s="105">
        <f t="shared" si="0"/>
        <v>2.2899282921287067E-3</v>
      </c>
    </row>
    <row r="14" spans="1:9" ht="14.4" x14ac:dyDescent="0.3">
      <c r="A14" s="71" t="s">
        <v>7</v>
      </c>
      <c r="B14" s="72">
        <v>79.731451683092033</v>
      </c>
      <c r="C14" s="72">
        <v>117.69883477350209</v>
      </c>
      <c r="D14" s="72">
        <v>128.72009517713633</v>
      </c>
      <c r="E14" s="72">
        <v>309.7233208069859</v>
      </c>
      <c r="F14" s="97">
        <v>583.16399740165639</v>
      </c>
      <c r="G14" s="48">
        <v>665.37200808071304</v>
      </c>
      <c r="H14" s="48">
        <v>670.34735553689882</v>
      </c>
      <c r="I14" s="106">
        <f t="shared" si="0"/>
        <v>7.4775424811412972E-3</v>
      </c>
    </row>
    <row r="15" spans="1:9" ht="14.4" x14ac:dyDescent="0.3">
      <c r="A15" s="68" t="s">
        <v>8</v>
      </c>
      <c r="B15" s="69">
        <v>1005.4334505076235</v>
      </c>
      <c r="C15" s="69">
        <v>2118.0351946982696</v>
      </c>
      <c r="D15" s="69">
        <v>1436.0371859978</v>
      </c>
      <c r="E15" s="69">
        <v>2277.6848119804545</v>
      </c>
      <c r="F15" s="96">
        <v>2038.1044900705342</v>
      </c>
      <c r="G15" s="48">
        <v>1872.8887012997277</v>
      </c>
      <c r="H15" s="48">
        <v>1873.6739802111633</v>
      </c>
      <c r="I15" s="106">
        <f t="shared" si="0"/>
        <v>4.1928754810194313E-4</v>
      </c>
    </row>
    <row r="16" spans="1:9" ht="14.4" x14ac:dyDescent="0.3">
      <c r="A16" s="71" t="s">
        <v>9</v>
      </c>
      <c r="B16" s="72">
        <v>22.616500102147135</v>
      </c>
      <c r="C16" s="72">
        <v>34.747607886469552</v>
      </c>
      <c r="D16" s="72">
        <v>39.022442963391477</v>
      </c>
      <c r="E16" s="72">
        <v>123.79053148184535</v>
      </c>
      <c r="F16" s="97">
        <v>164.91412996242929</v>
      </c>
      <c r="G16" s="48">
        <v>10.824656077233525</v>
      </c>
      <c r="H16" s="48">
        <v>10.901252407025186</v>
      </c>
      <c r="I16" s="106">
        <f t="shared" si="0"/>
        <v>7.07609823768518E-3</v>
      </c>
    </row>
    <row r="17" spans="1:9" ht="15" x14ac:dyDescent="0.3">
      <c r="A17" s="74" t="s">
        <v>10</v>
      </c>
      <c r="B17" s="75">
        <v>888.42121311944823</v>
      </c>
      <c r="C17" s="75">
        <v>1169.4763060135353</v>
      </c>
      <c r="D17" s="75">
        <v>1045.551051794803</v>
      </c>
      <c r="E17" s="75">
        <v>1199.5695169114804</v>
      </c>
      <c r="F17" s="98">
        <v>1447.6467660817457</v>
      </c>
      <c r="G17" s="47">
        <v>1092.076193597698</v>
      </c>
      <c r="H17" s="47">
        <v>1089.9396774154661</v>
      </c>
      <c r="I17" s="105">
        <f t="shared" si="0"/>
        <v>-1.9563801452290308E-3</v>
      </c>
    </row>
    <row r="18" spans="1:9" ht="14.4" x14ac:dyDescent="0.3">
      <c r="A18" s="71" t="s">
        <v>11</v>
      </c>
      <c r="B18" s="72">
        <v>349.96344503941259</v>
      </c>
      <c r="C18" s="72">
        <v>410.29194051712011</v>
      </c>
      <c r="D18" s="72">
        <v>391.12355932079134</v>
      </c>
      <c r="E18" s="72">
        <v>546.68168014091191</v>
      </c>
      <c r="F18" s="97">
        <v>458.23573578563315</v>
      </c>
      <c r="G18" s="48">
        <v>394.1313194277709</v>
      </c>
      <c r="H18" s="48">
        <v>391.01202151578985</v>
      </c>
      <c r="I18" s="106">
        <f t="shared" si="0"/>
        <v>-7.9143619352805006E-3</v>
      </c>
    </row>
    <row r="19" spans="1:9" ht="14.4" x14ac:dyDescent="0.3">
      <c r="A19" s="68" t="s">
        <v>12</v>
      </c>
      <c r="B19" s="69">
        <v>168.59545053501949</v>
      </c>
      <c r="C19" s="69">
        <v>297.98795298017501</v>
      </c>
      <c r="D19" s="69">
        <v>215.7289524649409</v>
      </c>
      <c r="E19" s="69">
        <v>209.92514690201958</v>
      </c>
      <c r="F19" s="96">
        <v>160.58512228701824</v>
      </c>
      <c r="G19" s="48">
        <v>112.13711607371037</v>
      </c>
      <c r="H19" s="48">
        <v>112.67481687377214</v>
      </c>
      <c r="I19" s="106">
        <f t="shared" si="0"/>
        <v>4.7950296823071614E-3</v>
      </c>
    </row>
    <row r="20" spans="1:9" ht="14.4" x14ac:dyDescent="0.3">
      <c r="A20" s="71" t="s">
        <v>13</v>
      </c>
      <c r="B20" s="72">
        <v>316.73866326997916</v>
      </c>
      <c r="C20" s="72">
        <v>395.35245429015868</v>
      </c>
      <c r="D20" s="72">
        <v>390.64875293966685</v>
      </c>
      <c r="E20" s="72">
        <v>315.83715317648216</v>
      </c>
      <c r="F20" s="97">
        <v>477.39449838941391</v>
      </c>
      <c r="G20" s="48">
        <v>324.32245075569841</v>
      </c>
      <c r="H20" s="48">
        <v>324.10978631646935</v>
      </c>
      <c r="I20" s="106">
        <f t="shared" si="0"/>
        <v>-6.5571914227191552E-4</v>
      </c>
    </row>
    <row r="21" spans="1:9" ht="14.4" x14ac:dyDescent="0.3">
      <c r="A21" s="68" t="s">
        <v>14</v>
      </c>
      <c r="B21" s="69">
        <v>53.123654275037019</v>
      </c>
      <c r="C21" s="69">
        <v>65.843958226081412</v>
      </c>
      <c r="D21" s="69">
        <v>48.049787069403997</v>
      </c>
      <c r="E21" s="69">
        <v>127.1255366920666</v>
      </c>
      <c r="F21" s="96">
        <v>351.43140961968038</v>
      </c>
      <c r="G21" s="48">
        <v>261.48530734051815</v>
      </c>
      <c r="H21" s="48">
        <v>262.1430527094347</v>
      </c>
      <c r="I21" s="106">
        <f t="shared" si="0"/>
        <v>2.5154199890091711E-3</v>
      </c>
    </row>
    <row r="22" spans="1:9" ht="15" x14ac:dyDescent="0.3">
      <c r="A22" s="74" t="s">
        <v>129</v>
      </c>
      <c r="B22" s="75">
        <v>118.03853876543209</v>
      </c>
      <c r="C22" s="75">
        <v>176.18921819444444</v>
      </c>
      <c r="D22" s="75">
        <v>197.38343031212642</v>
      </c>
      <c r="E22" s="75">
        <v>186.7274341442938</v>
      </c>
      <c r="F22" s="112">
        <v>167.19622242650385</v>
      </c>
      <c r="G22" s="47">
        <v>172.53135580950334</v>
      </c>
      <c r="H22" s="47">
        <v>172.53185444218144</v>
      </c>
      <c r="I22" s="105">
        <f t="shared" si="0"/>
        <v>2.8900988795488303E-6</v>
      </c>
    </row>
    <row r="23" spans="1:9" ht="14.4" x14ac:dyDescent="0.3">
      <c r="A23" s="71" t="s">
        <v>15</v>
      </c>
      <c r="B23" s="72">
        <v>12.031164444444443</v>
      </c>
      <c r="C23" s="72">
        <v>17.958214999999999</v>
      </c>
      <c r="D23" s="72">
        <v>18.370311015967179</v>
      </c>
      <c r="E23" s="72">
        <v>22.604032364989848</v>
      </c>
      <c r="F23" s="113">
        <v>21.577183113138101</v>
      </c>
      <c r="G23" s="48">
        <v>24.84846041464149</v>
      </c>
      <c r="H23" s="48">
        <v>24.84853222914909</v>
      </c>
      <c r="I23" s="106">
        <f>IFERROR(H23/G23-1,"-")</f>
        <v>2.8900988793267857E-6</v>
      </c>
    </row>
    <row r="24" spans="1:9" ht="15" x14ac:dyDescent="0.3">
      <c r="A24" s="68" t="s">
        <v>16</v>
      </c>
      <c r="B24" s="69">
        <v>32.964175308641977</v>
      </c>
      <c r="C24" s="69">
        <v>49.203695138888897</v>
      </c>
      <c r="D24" s="69">
        <v>50.032122781983198</v>
      </c>
      <c r="E24" s="69">
        <v>52.151722349549324</v>
      </c>
      <c r="F24" s="112">
        <v>52.183678957589393</v>
      </c>
      <c r="G24" s="48">
        <v>48.781969362139343</v>
      </c>
      <c r="H24" s="48">
        <v>48.782110346854331</v>
      </c>
      <c r="I24" s="106">
        <f t="shared" si="0"/>
        <v>2.8900988793267857E-6</v>
      </c>
    </row>
    <row r="25" spans="1:9" ht="14.4" x14ac:dyDescent="0.3">
      <c r="A25" s="71" t="s">
        <v>17</v>
      </c>
      <c r="B25" s="72">
        <v>47.091679012345672</v>
      </c>
      <c r="C25" s="72">
        <v>70.290993055555546</v>
      </c>
      <c r="D25" s="72">
        <v>71.726454409518951</v>
      </c>
      <c r="E25" s="72">
        <v>45.429944802274086</v>
      </c>
      <c r="F25" s="113">
        <v>35.175665075115802</v>
      </c>
      <c r="G25" s="48">
        <v>31.870886649931041</v>
      </c>
      <c r="H25" s="48">
        <v>31.87097875994483</v>
      </c>
      <c r="I25" s="106">
        <f t="shared" si="0"/>
        <v>2.8900988793267857E-6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25.951520000000002</v>
      </c>
      <c r="C27" s="72">
        <v>38.736314999999998</v>
      </c>
      <c r="D27" s="72">
        <v>57.254542104657077</v>
      </c>
      <c r="E27" s="72">
        <v>66.541734627480537</v>
      </c>
      <c r="F27" s="113">
        <v>58.259695280660559</v>
      </c>
      <c r="G27" s="48">
        <v>67.030039382791472</v>
      </c>
      <c r="H27" s="48">
        <v>67.030233106233169</v>
      </c>
      <c r="I27" s="106">
        <f t="shared" si="0"/>
        <v>2.8900988793267857E-6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133.16283195833336</v>
      </c>
      <c r="C31" s="66">
        <v>143.1106637333333</v>
      </c>
      <c r="D31" s="66">
        <v>152.82951728333333</v>
      </c>
      <c r="E31" s="66">
        <v>263.32772993024406</v>
      </c>
      <c r="F31" s="95">
        <v>311.57387117984371</v>
      </c>
      <c r="G31" s="47">
        <v>288.12720901967867</v>
      </c>
      <c r="H31" s="47">
        <v>289.91771988656177</v>
      </c>
      <c r="I31" s="105">
        <f t="shared" si="0"/>
        <v>6.2143067743414271E-3</v>
      </c>
    </row>
    <row r="32" spans="1:9" ht="14.4" x14ac:dyDescent="0.3">
      <c r="A32" s="68" t="s">
        <v>21</v>
      </c>
      <c r="B32" s="69">
        <v>113.09616529166669</v>
      </c>
      <c r="C32" s="69">
        <v>123.04399706666663</v>
      </c>
      <c r="D32" s="69">
        <v>132.76285061666667</v>
      </c>
      <c r="E32" s="69">
        <v>223.26086743024405</v>
      </c>
      <c r="F32" s="96">
        <v>274.16207951317705</v>
      </c>
      <c r="G32" s="48">
        <v>268.44127151967865</v>
      </c>
      <c r="H32" s="48">
        <v>270.23178238656175</v>
      </c>
      <c r="I32" s="106">
        <f t="shared" si="0"/>
        <v>6.6700282588694204E-3</v>
      </c>
    </row>
    <row r="33" spans="1:20" ht="14.4" x14ac:dyDescent="0.3">
      <c r="A33" s="71" t="s">
        <v>22</v>
      </c>
      <c r="B33" s="72">
        <v>20.066666666666666</v>
      </c>
      <c r="C33" s="72">
        <v>20.066666666666666</v>
      </c>
      <c r="D33" s="72">
        <v>20.066666666666666</v>
      </c>
      <c r="E33" s="72">
        <v>40.066862500000006</v>
      </c>
      <c r="F33" s="97">
        <v>37.411791666666673</v>
      </c>
      <c r="G33" s="48">
        <v>19.685937500000001</v>
      </c>
      <c r="H33" s="48">
        <v>19.685937500000001</v>
      </c>
      <c r="I33" s="106">
        <f t="shared" si="0"/>
        <v>0</v>
      </c>
    </row>
    <row r="34" spans="1:20" ht="15" x14ac:dyDescent="0.3">
      <c r="A34" s="74" t="s">
        <v>23</v>
      </c>
      <c r="B34" s="75">
        <v>117.64810060606061</v>
      </c>
      <c r="C34" s="75">
        <v>117.64810060606061</v>
      </c>
      <c r="D34" s="75">
        <v>119.02080430976437</v>
      </c>
      <c r="E34" s="75">
        <v>295.65391066086687</v>
      </c>
      <c r="F34" s="98">
        <v>274.91393225579975</v>
      </c>
      <c r="G34" s="47">
        <v>258.19119490613554</v>
      </c>
      <c r="H34" s="47">
        <v>258.19119490613554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110.47310060606061</v>
      </c>
      <c r="C35" s="72">
        <v>110.47310060606061</v>
      </c>
      <c r="D35" s="72">
        <v>111.84580430976438</v>
      </c>
      <c r="E35" s="72">
        <v>288.14886691086684</v>
      </c>
      <c r="F35" s="97">
        <v>265.36419975579975</v>
      </c>
      <c r="G35" s="48">
        <v>249.90183553113556</v>
      </c>
      <c r="H35" s="48">
        <v>249.90183553113556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7.174999999999998</v>
      </c>
      <c r="C36" s="69">
        <v>7.174999999999998</v>
      </c>
      <c r="D36" s="69">
        <v>7.174999999999998</v>
      </c>
      <c r="E36" s="69">
        <v>7.5050437499999996</v>
      </c>
      <c r="F36" s="96">
        <v>9.5497325000000011</v>
      </c>
      <c r="G36" s="48">
        <v>8.2893593750000001</v>
      </c>
      <c r="H36" s="48">
        <v>8.2893593750000001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178.72902121792796</v>
      </c>
      <c r="C37" s="66">
        <v>206.02551988792791</v>
      </c>
      <c r="D37" s="66">
        <v>219.26987233792795</v>
      </c>
      <c r="E37" s="66">
        <v>258.15799845159205</v>
      </c>
      <c r="F37" s="95">
        <v>226.39781489018316</v>
      </c>
      <c r="G37" s="47">
        <v>269.39734487247085</v>
      </c>
      <c r="H37" s="47">
        <v>269.6161602534674</v>
      </c>
      <c r="I37" s="105">
        <f t="shared" si="0"/>
        <v>8.1224030288828963E-4</v>
      </c>
    </row>
    <row r="38" spans="1:20" ht="14.4" x14ac:dyDescent="0.3">
      <c r="A38" s="68" t="s">
        <v>27</v>
      </c>
      <c r="B38" s="69">
        <v>23.631428333333332</v>
      </c>
      <c r="C38" s="69">
        <v>25.396793333333324</v>
      </c>
      <c r="D38" s="69">
        <v>27.121523333333332</v>
      </c>
      <c r="E38" s="69">
        <v>54.452935501387948</v>
      </c>
      <c r="F38" s="96">
        <v>58.971706883516482</v>
      </c>
      <c r="G38" s="48">
        <v>55.041118372470855</v>
      </c>
      <c r="H38" s="48">
        <v>55.244483753467406</v>
      </c>
      <c r="I38" s="106">
        <f t="shared" si="0"/>
        <v>3.6947901316313203E-3</v>
      </c>
    </row>
    <row r="39" spans="1:20" ht="14.4" x14ac:dyDescent="0.3">
      <c r="A39" s="71" t="s">
        <v>28</v>
      </c>
      <c r="B39" s="72">
        <v>68.857446000000024</v>
      </c>
      <c r="C39" s="72">
        <v>80.928904000000003</v>
      </c>
      <c r="D39" s="72">
        <v>86.375534000000016</v>
      </c>
      <c r="E39" s="72">
        <v>90.957750000000019</v>
      </c>
      <c r="F39" s="97">
        <v>72.943500000000014</v>
      </c>
      <c r="G39" s="48">
        <v>94.961100000000002</v>
      </c>
      <c r="H39" s="48">
        <v>94.961100000000002</v>
      </c>
      <c r="I39" s="106">
        <f t="shared" si="0"/>
        <v>0</v>
      </c>
    </row>
    <row r="40" spans="1:20" ht="14.4" x14ac:dyDescent="0.3">
      <c r="A40" s="68" t="s">
        <v>29</v>
      </c>
      <c r="B40" s="69">
        <v>68.857446000000024</v>
      </c>
      <c r="C40" s="69">
        <v>80.928904000000003</v>
      </c>
      <c r="D40" s="69">
        <v>86.375534000000016</v>
      </c>
      <c r="E40" s="69">
        <v>90.957750000000019</v>
      </c>
      <c r="F40" s="96">
        <v>72.943500000000014</v>
      </c>
      <c r="G40" s="48">
        <v>94.961100000000002</v>
      </c>
      <c r="H40" s="48">
        <v>94.961100000000002</v>
      </c>
      <c r="I40" s="106">
        <f t="shared" si="0"/>
        <v>0</v>
      </c>
    </row>
    <row r="41" spans="1:20" ht="14.4" x14ac:dyDescent="0.3">
      <c r="A41" s="71" t="s">
        <v>30</v>
      </c>
      <c r="B41" s="72">
        <v>4.942094594594594</v>
      </c>
      <c r="C41" s="72">
        <v>4.942094594594594</v>
      </c>
      <c r="D41" s="72">
        <v>4.942094594594594</v>
      </c>
      <c r="E41" s="72">
        <v>3.1201461900000003</v>
      </c>
      <c r="F41" s="97">
        <v>3.7984388400000006</v>
      </c>
      <c r="G41" s="48">
        <v>4.0635000000000003</v>
      </c>
      <c r="H41" s="48">
        <v>4.0635000000000003</v>
      </c>
      <c r="I41" s="106">
        <f t="shared" si="0"/>
        <v>0</v>
      </c>
    </row>
    <row r="42" spans="1:20" ht="14.4" x14ac:dyDescent="0.3">
      <c r="A42" s="68" t="s">
        <v>31</v>
      </c>
      <c r="B42" s="69">
        <v>7.9186062899999969</v>
      </c>
      <c r="C42" s="69">
        <v>9.3068239600000009</v>
      </c>
      <c r="D42" s="69">
        <v>9.9331864100000011</v>
      </c>
      <c r="E42" s="69">
        <v>10.460141250000001</v>
      </c>
      <c r="F42" s="96">
        <v>8.3885025000000013</v>
      </c>
      <c r="G42" s="48">
        <v>10.920526499999999</v>
      </c>
      <c r="H42" s="48">
        <v>10.920526499999999</v>
      </c>
      <c r="I42" s="106">
        <f t="shared" si="0"/>
        <v>0</v>
      </c>
    </row>
    <row r="43" spans="1:20" ht="14.4" x14ac:dyDescent="0.3">
      <c r="A43" s="71" t="s">
        <v>32</v>
      </c>
      <c r="B43" s="72">
        <v>4.5219999999999994</v>
      </c>
      <c r="C43" s="72">
        <v>4.5219999999999994</v>
      </c>
      <c r="D43" s="72">
        <v>4.5219999999999994</v>
      </c>
      <c r="E43" s="72">
        <v>8.2092755102040798</v>
      </c>
      <c r="F43" s="97">
        <v>9.352166666666669</v>
      </c>
      <c r="G43" s="48">
        <v>9.4500000000000011</v>
      </c>
      <c r="H43" s="48">
        <v>9.4654500000000006</v>
      </c>
      <c r="I43" s="106">
        <f t="shared" si="0"/>
        <v>1.6349206349206558E-3</v>
      </c>
    </row>
    <row r="44" spans="1:20" ht="15" x14ac:dyDescent="0.3">
      <c r="A44" s="74" t="s">
        <v>33</v>
      </c>
      <c r="B44" s="75">
        <v>281.74978346990605</v>
      </c>
      <c r="C44" s="75">
        <v>423.58081274023618</v>
      </c>
      <c r="D44" s="75">
        <v>339.18743198274296</v>
      </c>
      <c r="E44" s="75">
        <v>524.3818445103251</v>
      </c>
      <c r="F44" s="98">
        <v>527.18993749956292</v>
      </c>
      <c r="G44" s="47">
        <v>607.57386675585371</v>
      </c>
      <c r="H44" s="47">
        <v>606.16373584019846</v>
      </c>
      <c r="I44" s="105">
        <f t="shared" si="0"/>
        <v>-2.3209209493895155E-3</v>
      </c>
    </row>
    <row r="45" spans="1:20" ht="14.4" x14ac:dyDescent="0.3">
      <c r="A45" s="71" t="s">
        <v>34</v>
      </c>
      <c r="B45" s="72">
        <v>255.37557559691473</v>
      </c>
      <c r="C45" s="72">
        <v>389.08147082082218</v>
      </c>
      <c r="D45" s="72">
        <v>309.02042862491766</v>
      </c>
      <c r="E45" s="72">
        <v>468.15910464089376</v>
      </c>
      <c r="F45" s="97">
        <v>466.48864455784673</v>
      </c>
      <c r="G45" s="48">
        <v>506.34562396307774</v>
      </c>
      <c r="H45" s="48">
        <v>505.0952584021943</v>
      </c>
      <c r="I45" s="106">
        <f t="shared" si="0"/>
        <v>-2.4693914624897007E-3</v>
      </c>
    </row>
    <row r="46" spans="1:20" ht="14.4" x14ac:dyDescent="0.3">
      <c r="A46" s="68" t="s">
        <v>35</v>
      </c>
      <c r="B46" s="69">
        <v>15.518842908403471</v>
      </c>
      <c r="C46" s="69">
        <v>23.643976954826126</v>
      </c>
      <c r="D46" s="69">
        <v>18.778771133881076</v>
      </c>
      <c r="E46" s="69">
        <v>31.030253843066159</v>
      </c>
      <c r="F46" s="96">
        <v>30.919533363857663</v>
      </c>
      <c r="G46" s="48">
        <v>64.698269674415442</v>
      </c>
      <c r="H46" s="48">
        <v>64.538504319643579</v>
      </c>
      <c r="I46" s="106">
        <f t="shared" si="0"/>
        <v>-2.4693914624898117E-3</v>
      </c>
    </row>
    <row r="47" spans="1:20" ht="14.4" x14ac:dyDescent="0.3">
      <c r="A47" s="71" t="s">
        <v>36</v>
      </c>
      <c r="B47" s="72">
        <v>10.85536496458789</v>
      </c>
      <c r="C47" s="72">
        <v>10.85536496458789</v>
      </c>
      <c r="D47" s="72">
        <v>11.3882322239442</v>
      </c>
      <c r="E47" s="72">
        <v>25.192486026365149</v>
      </c>
      <c r="F47" s="97">
        <v>29.78175957785847</v>
      </c>
      <c r="G47" s="48">
        <v>36.529973118360509</v>
      </c>
      <c r="H47" s="48">
        <v>36.529973118360509</v>
      </c>
      <c r="I47" s="106">
        <f t="shared" si="0"/>
        <v>0</v>
      </c>
    </row>
    <row r="48" spans="1:20" ht="15" x14ac:dyDescent="0.3">
      <c r="A48" s="74" t="s">
        <v>37</v>
      </c>
      <c r="B48" s="75">
        <v>157.13599999999997</v>
      </c>
      <c r="C48" s="75">
        <v>157.13599999999997</v>
      </c>
      <c r="D48" s="75">
        <v>159.06799999999998</v>
      </c>
      <c r="E48" s="75">
        <v>136.5</v>
      </c>
      <c r="F48" s="98">
        <v>132.5</v>
      </c>
      <c r="G48" s="47">
        <v>162.5</v>
      </c>
      <c r="H48" s="47">
        <v>162.5</v>
      </c>
      <c r="I48" s="105">
        <f t="shared" si="0"/>
        <v>0</v>
      </c>
    </row>
    <row r="49" spans="1:9" ht="14.4" x14ac:dyDescent="0.3">
      <c r="A49" s="71" t="s">
        <v>62</v>
      </c>
      <c r="B49" s="72">
        <v>64.399999999999991</v>
      </c>
      <c r="C49" s="72">
        <v>64.399999999999991</v>
      </c>
      <c r="D49" s="72">
        <v>64.399999999999991</v>
      </c>
      <c r="E49" s="72">
        <v>0</v>
      </c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15.455999999999998</v>
      </c>
      <c r="C50" s="69">
        <v>15.455999999999998</v>
      </c>
      <c r="D50" s="69">
        <v>17.388000000000002</v>
      </c>
      <c r="E50" s="69">
        <v>0</v>
      </c>
      <c r="F50" s="96">
        <v>7.5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77.279999999999987</v>
      </c>
      <c r="C51" s="72">
        <v>77.279999999999987</v>
      </c>
      <c r="D51" s="72">
        <v>77.279999999999987</v>
      </c>
      <c r="E51" s="72">
        <v>136.5</v>
      </c>
      <c r="F51" s="97">
        <v>125</v>
      </c>
      <c r="G51" s="48">
        <v>162.5</v>
      </c>
      <c r="H51" s="48">
        <v>162.5</v>
      </c>
      <c r="I51" s="106">
        <f t="shared" si="0"/>
        <v>0</v>
      </c>
    </row>
    <row r="52" spans="1:9" ht="15" x14ac:dyDescent="0.3">
      <c r="A52" s="74" t="s">
        <v>40</v>
      </c>
      <c r="B52" s="75">
        <v>113.07126825447928</v>
      </c>
      <c r="C52" s="75">
        <v>140.16281426807947</v>
      </c>
      <c r="D52" s="75">
        <v>133.6580372037281</v>
      </c>
      <c r="E52" s="75">
        <v>139.99499832082643</v>
      </c>
      <c r="F52" s="98">
        <v>249.29822542323205</v>
      </c>
      <c r="G52" s="47">
        <v>165.49821013579376</v>
      </c>
      <c r="H52" s="47">
        <v>165.46917032818266</v>
      </c>
      <c r="I52" s="105">
        <f t="shared" si="0"/>
        <v>-1.7546901315290686E-4</v>
      </c>
    </row>
    <row r="53" spans="1:9" ht="14.4" x14ac:dyDescent="0.3">
      <c r="A53" s="71" t="s">
        <v>41</v>
      </c>
      <c r="B53" s="72">
        <v>30.968751824849647</v>
      </c>
      <c r="C53" s="72">
        <v>43.527285534746134</v>
      </c>
      <c r="D53" s="72">
        <v>35.473049461982249</v>
      </c>
      <c r="E53" s="72">
        <v>41.75685446879438</v>
      </c>
      <c r="F53" s="97">
        <v>42.089898749734537</v>
      </c>
      <c r="G53" s="48">
        <v>13.863914930231976</v>
      </c>
      <c r="H53" s="48">
        <v>13.829679497066579</v>
      </c>
      <c r="I53" s="106">
        <f t="shared" si="0"/>
        <v>-2.4693914624895896E-3</v>
      </c>
    </row>
    <row r="54" spans="1:9" ht="14.4" x14ac:dyDescent="0.3">
      <c r="A54" s="68" t="s">
        <v>42</v>
      </c>
      <c r="B54" s="69">
        <v>27.395766429629631</v>
      </c>
      <c r="C54" s="69">
        <v>40.697128733333336</v>
      </c>
      <c r="D54" s="69">
        <v>41.043287741745843</v>
      </c>
      <c r="E54" s="69">
        <v>33.27924385203201</v>
      </c>
      <c r="F54" s="96">
        <v>38.198226673497537</v>
      </c>
      <c r="G54" s="48">
        <v>32.036795205561781</v>
      </c>
      <c r="H54" s="48">
        <v>32.041990831116088</v>
      </c>
      <c r="I54" s="106">
        <f t="shared" si="0"/>
        <v>1.6217681952790386E-4</v>
      </c>
    </row>
    <row r="55" spans="1:9" ht="14.4" x14ac:dyDescent="0.3">
      <c r="A55" s="71" t="s">
        <v>43</v>
      </c>
      <c r="B55" s="72">
        <v>54.70675</v>
      </c>
      <c r="C55" s="72">
        <v>55.938400000000001</v>
      </c>
      <c r="D55" s="72">
        <v>57.141700000000014</v>
      </c>
      <c r="E55" s="72">
        <v>64.958900000000014</v>
      </c>
      <c r="F55" s="97">
        <v>169.01009999999997</v>
      </c>
      <c r="G55" s="48">
        <v>119.5975</v>
      </c>
      <c r="H55" s="48">
        <v>119.5975</v>
      </c>
      <c r="I55" s="106">
        <f t="shared" si="0"/>
        <v>0</v>
      </c>
    </row>
    <row r="56" spans="1:9" s="4" customFormat="1" ht="15" x14ac:dyDescent="0.3">
      <c r="A56" s="74" t="s">
        <v>44</v>
      </c>
      <c r="B56" s="75">
        <v>204.92215197902644</v>
      </c>
      <c r="C56" s="75">
        <v>259.90813033077052</v>
      </c>
      <c r="D56" s="75">
        <v>223.03479050316818</v>
      </c>
      <c r="E56" s="75">
        <v>217.21378008940815</v>
      </c>
      <c r="F56" s="98">
        <v>256.00851707293265</v>
      </c>
      <c r="G56" s="47">
        <v>257.44351329970777</v>
      </c>
      <c r="H56" s="47">
        <v>253.40185592150314</v>
      </c>
      <c r="I56" s="105">
        <f t="shared" si="0"/>
        <v>-1.5699200676691616E-2</v>
      </c>
    </row>
    <row r="57" spans="1:9" ht="14.4" x14ac:dyDescent="0.3">
      <c r="A57" s="71" t="s">
        <v>45</v>
      </c>
      <c r="B57" s="72">
        <v>204.92215197902644</v>
      </c>
      <c r="C57" s="72">
        <v>259.90813033077052</v>
      </c>
      <c r="D57" s="72">
        <v>223.03479050316818</v>
      </c>
      <c r="E57" s="72">
        <v>217.21378008940815</v>
      </c>
      <c r="F57" s="97">
        <v>256.00851707293265</v>
      </c>
      <c r="G57" s="48">
        <v>257.44351329970777</v>
      </c>
      <c r="H57" s="48">
        <v>253.40185592150314</v>
      </c>
      <c r="I57" s="106">
        <f t="shared" si="0"/>
        <v>-1.5699200676691616E-2</v>
      </c>
    </row>
    <row r="58" spans="1:9" ht="15" x14ac:dyDescent="0.3">
      <c r="A58" s="62" t="s">
        <v>46</v>
      </c>
      <c r="B58" s="63">
        <v>3820.1790820275901</v>
      </c>
      <c r="C58" s="63">
        <v>5980.3639612356392</v>
      </c>
      <c r="D58" s="63">
        <v>4950.1980636914768</v>
      </c>
      <c r="E58" s="63">
        <v>6743.1340475656934</v>
      </c>
      <c r="F58" s="99">
        <v>6939.2517034382008</v>
      </c>
      <c r="G58" s="46">
        <v>6318.0291619991958</v>
      </c>
      <c r="H58" s="46">
        <v>6299.2847608699767</v>
      </c>
      <c r="I58" s="104">
        <f t="shared" si="0"/>
        <v>-2.9668114294185699E-3</v>
      </c>
    </row>
    <row r="59" spans="1:9" ht="15" x14ac:dyDescent="0.3">
      <c r="A59" s="65" t="s">
        <v>47</v>
      </c>
      <c r="B59" s="66">
        <v>182.4283615951438</v>
      </c>
      <c r="C59" s="66">
        <v>182.4283615951438</v>
      </c>
      <c r="D59" s="66">
        <v>187.16495945608881</v>
      </c>
      <c r="E59" s="66">
        <v>395.45460081331134</v>
      </c>
      <c r="F59" s="95">
        <v>506.18016427154242</v>
      </c>
      <c r="G59" s="47">
        <v>544.01773013409775</v>
      </c>
      <c r="H59" s="47">
        <v>544.01773013409775</v>
      </c>
      <c r="I59" s="105">
        <f t="shared" si="0"/>
        <v>0</v>
      </c>
    </row>
    <row r="60" spans="1:9" ht="14.4" x14ac:dyDescent="0.3">
      <c r="A60" s="68" t="s">
        <v>48</v>
      </c>
      <c r="B60" s="69">
        <v>109.39879968522565</v>
      </c>
      <c r="C60" s="69">
        <v>109.39879968522565</v>
      </c>
      <c r="D60" s="69">
        <v>114.13539754617067</v>
      </c>
      <c r="E60" s="69">
        <v>244.76654245657923</v>
      </c>
      <c r="F60" s="96">
        <v>302.68759399531876</v>
      </c>
      <c r="G60" s="48">
        <v>350.04198357973377</v>
      </c>
      <c r="H60" s="48">
        <v>350.04198357973377</v>
      </c>
      <c r="I60" s="106">
        <f t="shared" si="0"/>
        <v>0</v>
      </c>
    </row>
    <row r="61" spans="1:9" ht="14.4" x14ac:dyDescent="0.3">
      <c r="A61" s="71" t="s">
        <v>49</v>
      </c>
      <c r="B61" s="72">
        <v>39.899961909918133</v>
      </c>
      <c r="C61" s="72">
        <v>39.899961909918133</v>
      </c>
      <c r="D61" s="72">
        <v>39.899961909918133</v>
      </c>
      <c r="E61" s="72">
        <v>106.75288335673211</v>
      </c>
      <c r="F61" s="97">
        <v>147.77964027622366</v>
      </c>
      <c r="G61" s="48">
        <v>135.98080905436393</v>
      </c>
      <c r="H61" s="48">
        <v>135.98080905436393</v>
      </c>
      <c r="I61" s="106">
        <f t="shared" si="0"/>
        <v>0</v>
      </c>
    </row>
    <row r="62" spans="1:9" ht="14.4" x14ac:dyDescent="0.3">
      <c r="A62" s="68" t="s">
        <v>50</v>
      </c>
      <c r="B62" s="69">
        <v>2.7775999999999996</v>
      </c>
      <c r="C62" s="69">
        <v>2.7775999999999996</v>
      </c>
      <c r="D62" s="69">
        <v>2.7775999999999996</v>
      </c>
      <c r="E62" s="69">
        <v>2.3000000000000003</v>
      </c>
      <c r="F62" s="96">
        <v>4.8999999999999995</v>
      </c>
      <c r="G62" s="48">
        <v>4.375</v>
      </c>
      <c r="H62" s="48">
        <v>4.375</v>
      </c>
      <c r="I62" s="106">
        <f t="shared" si="0"/>
        <v>0</v>
      </c>
    </row>
    <row r="63" spans="1:9" ht="14.4" x14ac:dyDescent="0.3">
      <c r="A63" s="71" t="s">
        <v>51</v>
      </c>
      <c r="B63" s="72">
        <v>11.592000000000001</v>
      </c>
      <c r="C63" s="72">
        <v>11.592000000000001</v>
      </c>
      <c r="D63" s="72">
        <v>11.592000000000001</v>
      </c>
      <c r="E63" s="72">
        <v>21.16</v>
      </c>
      <c r="F63" s="97">
        <v>24.472000000000005</v>
      </c>
      <c r="G63" s="48">
        <v>31.05</v>
      </c>
      <c r="H63" s="48">
        <v>31.05</v>
      </c>
      <c r="I63" s="106">
        <f t="shared" si="0"/>
        <v>0</v>
      </c>
    </row>
    <row r="64" spans="1:9" ht="14.4" x14ac:dyDescent="0.3">
      <c r="A64" s="68" t="s">
        <v>52</v>
      </c>
      <c r="B64" s="69">
        <v>18.759999999999998</v>
      </c>
      <c r="C64" s="69">
        <v>18.759999999999998</v>
      </c>
      <c r="D64" s="69">
        <v>18.759999999999998</v>
      </c>
      <c r="E64" s="69">
        <v>20.475175</v>
      </c>
      <c r="F64" s="96">
        <v>26.340930000000011</v>
      </c>
      <c r="G64" s="48">
        <v>22.569937500000002</v>
      </c>
      <c r="H64" s="48">
        <v>22.569937500000002</v>
      </c>
      <c r="I64" s="106">
        <f t="shared" si="0"/>
        <v>0</v>
      </c>
    </row>
    <row r="65" spans="1:9" ht="15" x14ac:dyDescent="0.3">
      <c r="A65" s="65" t="s">
        <v>53</v>
      </c>
      <c r="B65" s="66">
        <v>84</v>
      </c>
      <c r="C65" s="66">
        <v>84</v>
      </c>
      <c r="D65" s="66">
        <v>84</v>
      </c>
      <c r="E65" s="66">
        <v>137.99999999999997</v>
      </c>
      <c r="F65" s="95">
        <v>193.69030350116623</v>
      </c>
      <c r="G65" s="47">
        <v>107.50368637332062</v>
      </c>
      <c r="H65" s="47">
        <v>107.04480420536943</v>
      </c>
      <c r="I65" s="105">
        <f t="shared" si="0"/>
        <v>-4.2685249541830617E-3</v>
      </c>
    </row>
    <row r="66" spans="1:9" ht="14.4" x14ac:dyDescent="0.3">
      <c r="A66" s="68" t="s">
        <v>54</v>
      </c>
      <c r="B66" s="69">
        <v>84</v>
      </c>
      <c r="C66" s="69">
        <v>84</v>
      </c>
      <c r="D66" s="69">
        <v>84</v>
      </c>
      <c r="E66" s="69">
        <v>137.99999999999997</v>
      </c>
      <c r="F66" s="96">
        <v>193.69030350116623</v>
      </c>
      <c r="G66" s="48">
        <v>107.50368637332062</v>
      </c>
      <c r="H66" s="48">
        <v>107.04480420536943</v>
      </c>
      <c r="I66" s="106">
        <f t="shared" si="0"/>
        <v>-4.2685249541830617E-3</v>
      </c>
    </row>
    <row r="67" spans="1:9" ht="15" x14ac:dyDescent="0.3">
      <c r="A67" s="78" t="s">
        <v>55</v>
      </c>
      <c r="B67" s="79">
        <v>4086.6074436227341</v>
      </c>
      <c r="C67" s="79">
        <v>6246.7923228307827</v>
      </c>
      <c r="D67" s="79">
        <v>5221.3630231475654</v>
      </c>
      <c r="E67" s="79">
        <v>7276.5886483790046</v>
      </c>
      <c r="F67" s="100">
        <v>7639.1221712109091</v>
      </c>
      <c r="G67" s="46">
        <v>6969.5505785066143</v>
      </c>
      <c r="H67" s="46">
        <v>6950.3472952094435</v>
      </c>
      <c r="I67" s="104">
        <f t="shared" si="0"/>
        <v>-2.7553115628993208E-3</v>
      </c>
    </row>
    <row r="68" spans="1:9" ht="15" x14ac:dyDescent="0.3">
      <c r="A68" s="74" t="s">
        <v>63</v>
      </c>
      <c r="B68" s="75">
        <v>874.61091459450176</v>
      </c>
      <c r="C68" s="75">
        <v>1100.139469845642</v>
      </c>
      <c r="D68" s="75">
        <v>1014.9652345466903</v>
      </c>
      <c r="E68" s="75">
        <v>988.80406227861874</v>
      </c>
      <c r="F68" s="98">
        <v>1409.4695333888496</v>
      </c>
      <c r="G68" s="47">
        <v>1455.6408036500975</v>
      </c>
      <c r="H68" s="47">
        <v>1445.8679154359661</v>
      </c>
      <c r="I68" s="105">
        <f t="shared" si="0"/>
        <v>-6.7138047996629924E-3</v>
      </c>
    </row>
    <row r="69" spans="1:9" ht="14.4" x14ac:dyDescent="0.3">
      <c r="A69" s="71" t="s">
        <v>56</v>
      </c>
      <c r="B69" s="72">
        <v>614.76645593707929</v>
      </c>
      <c r="C69" s="72">
        <v>779.72439099231167</v>
      </c>
      <c r="D69" s="72">
        <v>669.10437150950452</v>
      </c>
      <c r="E69" s="72">
        <v>422.36012795162691</v>
      </c>
      <c r="F69" s="97">
        <v>597.35320650350934</v>
      </c>
      <c r="G69" s="48">
        <v>600.70153103265147</v>
      </c>
      <c r="H69" s="48">
        <v>591.27099715017403</v>
      </c>
      <c r="I69" s="106">
        <f t="shared" si="0"/>
        <v>-1.5699200676691505E-2</v>
      </c>
    </row>
    <row r="70" spans="1:9" ht="14.4" x14ac:dyDescent="0.3">
      <c r="A70" s="68" t="s">
        <v>57</v>
      </c>
      <c r="B70" s="69">
        <v>68.739158646099597</v>
      </c>
      <c r="C70" s="69">
        <v>113.74627903047927</v>
      </c>
      <c r="D70" s="69">
        <v>103.10062548558319</v>
      </c>
      <c r="E70" s="69">
        <v>174.3892235498322</v>
      </c>
      <c r="F70" s="96">
        <v>210.39180611036682</v>
      </c>
      <c r="G70" s="48">
        <v>138.63914930232113</v>
      </c>
      <c r="H70" s="48">
        <v>138.29679497066715</v>
      </c>
      <c r="I70" s="106">
        <f t="shared" si="0"/>
        <v>-2.4693914624897007E-3</v>
      </c>
    </row>
    <row r="71" spans="1:9" ht="14.4" x14ac:dyDescent="0.3">
      <c r="A71" s="71" t="s">
        <v>58</v>
      </c>
      <c r="B71" s="72">
        <v>143.21130001132286</v>
      </c>
      <c r="C71" s="72">
        <v>154.87434148951766</v>
      </c>
      <c r="D71" s="72">
        <v>183.43698755160258</v>
      </c>
      <c r="E71" s="72">
        <v>337.110034735493</v>
      </c>
      <c r="F71" s="97">
        <v>516.4101570249735</v>
      </c>
      <c r="G71" s="48">
        <v>631.66285769012484</v>
      </c>
      <c r="H71" s="48">
        <v>631.66285769012484</v>
      </c>
      <c r="I71" s="106">
        <f t="shared" si="0"/>
        <v>0</v>
      </c>
    </row>
    <row r="72" spans="1:9" ht="14.4" x14ac:dyDescent="0.3">
      <c r="A72" s="68" t="s">
        <v>59</v>
      </c>
      <c r="B72" s="69">
        <v>47.893999999999998</v>
      </c>
      <c r="C72" s="69">
        <v>51.794458333333324</v>
      </c>
      <c r="D72" s="69">
        <v>59.323250000000002</v>
      </c>
      <c r="E72" s="69">
        <v>54.944676041666646</v>
      </c>
      <c r="F72" s="96">
        <v>85.314363749999998</v>
      </c>
      <c r="G72" s="49">
        <v>84.637265624999998</v>
      </c>
      <c r="H72" s="49">
        <v>84.637265624999998</v>
      </c>
      <c r="I72" s="107">
        <f t="shared" si="0"/>
        <v>0</v>
      </c>
    </row>
    <row r="73" spans="1:9" ht="15" x14ac:dyDescent="0.3">
      <c r="A73" s="81" t="s">
        <v>60</v>
      </c>
      <c r="B73" s="82">
        <v>4961.2183582172356</v>
      </c>
      <c r="C73" s="82">
        <v>7346.9317926764252</v>
      </c>
      <c r="D73" s="82">
        <v>6236.3282576942556</v>
      </c>
      <c r="E73" s="82">
        <v>8265.392710657623</v>
      </c>
      <c r="F73" s="100">
        <v>9048.5917045997594</v>
      </c>
      <c r="G73" s="46">
        <v>8425.1913821567123</v>
      </c>
      <c r="H73" s="46">
        <v>8396.2152106454087</v>
      </c>
      <c r="I73" s="104">
        <f t="shared" si="0"/>
        <v>-3.4392300657609676E-3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64.400000000000006</v>
      </c>
      <c r="C75" s="86">
        <v>64.400000000000006</v>
      </c>
      <c r="D75" s="86">
        <v>64.400000000000006</v>
      </c>
      <c r="E75" s="86">
        <v>64.400000000000006</v>
      </c>
      <c r="F75" s="86">
        <v>50</v>
      </c>
      <c r="G75" s="108">
        <v>50</v>
      </c>
      <c r="H75" s="108">
        <v>50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/>
    <row r="83" spans="1:9" ht="18" hidden="1" customHeight="1" x14ac:dyDescent="0.3">
      <c r="A83" s="125"/>
      <c r="B83" s="125"/>
      <c r="C83" s="125"/>
      <c r="D83" s="125"/>
      <c r="E83" s="125"/>
      <c r="F83" s="125"/>
      <c r="G83" s="125"/>
    </row>
  </sheetData>
  <mergeCells count="5">
    <mergeCell ref="A2:I2"/>
    <mergeCell ref="A3:I3"/>
    <mergeCell ref="A4:I4"/>
    <mergeCell ref="A80:I80"/>
    <mergeCell ref="A83:G83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3484-929E-4ECF-A937-3CE2211ADF8A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125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3087.8835676823292</v>
      </c>
      <c r="C9" s="64">
        <v>5117.4803693197282</v>
      </c>
      <c r="D9" s="63">
        <v>4219.8796560736146</v>
      </c>
      <c r="E9" s="63">
        <v>4457.2228519392556</v>
      </c>
      <c r="F9" s="99">
        <v>4225.3183405116997</v>
      </c>
      <c r="G9" s="46">
        <v>4409.6162746413456</v>
      </c>
      <c r="H9" s="46">
        <v>4397.988986897175</v>
      </c>
      <c r="I9" s="104">
        <f>IFERROR(H9/G9-1,"-")</f>
        <v>-2.6368026195467964E-3</v>
      </c>
    </row>
    <row r="10" spans="1:9" ht="15" x14ac:dyDescent="0.3">
      <c r="A10" s="65" t="s">
        <v>3</v>
      </c>
      <c r="B10" s="66">
        <v>510.81343850168662</v>
      </c>
      <c r="C10" s="66">
        <v>857.09924124754366</v>
      </c>
      <c r="D10" s="66">
        <v>484.44695130918348</v>
      </c>
      <c r="E10" s="66">
        <v>784.69390893089155</v>
      </c>
      <c r="F10" s="95">
        <v>727.19321986433317</v>
      </c>
      <c r="G10" s="47">
        <v>585.26794083005905</v>
      </c>
      <c r="H10" s="47">
        <v>575.35194866074721</v>
      </c>
      <c r="I10" s="105">
        <f t="shared" ref="I10:I73" si="0">IFERROR(H10/G10-1,"-")</f>
        <v>-1.6942653915484329E-2</v>
      </c>
    </row>
    <row r="11" spans="1:9" ht="14.4" x14ac:dyDescent="0.3">
      <c r="A11" s="68" t="s">
        <v>4</v>
      </c>
      <c r="B11" s="69">
        <v>465.50781371597236</v>
      </c>
      <c r="C11" s="69">
        <v>786.09165559346491</v>
      </c>
      <c r="D11" s="69">
        <v>405.55145529835784</v>
      </c>
      <c r="E11" s="69">
        <v>737.72259670241749</v>
      </c>
      <c r="F11" s="96">
        <v>657.79882436589685</v>
      </c>
      <c r="G11" s="48">
        <v>575.41425299967693</v>
      </c>
      <c r="H11" s="48">
        <v>566.17888785312107</v>
      </c>
      <c r="I11" s="106">
        <f t="shared" si="0"/>
        <v>-1.6049941582800931E-2</v>
      </c>
    </row>
    <row r="12" spans="1:9" ht="14.4" x14ac:dyDescent="0.3">
      <c r="A12" s="71" t="s">
        <v>5</v>
      </c>
      <c r="B12" s="72">
        <v>45.305624785714279</v>
      </c>
      <c r="C12" s="72">
        <v>71.007585654078696</v>
      </c>
      <c r="D12" s="72">
        <v>78.895496010825639</v>
      </c>
      <c r="E12" s="72">
        <v>46.971312228474062</v>
      </c>
      <c r="F12" s="97">
        <v>69.394395498436367</v>
      </c>
      <c r="G12" s="48">
        <v>9.8536878303821602</v>
      </c>
      <c r="H12" s="48">
        <v>9.1730608076261397</v>
      </c>
      <c r="I12" s="106">
        <f t="shared" si="0"/>
        <v>-6.9073329140529882E-2</v>
      </c>
    </row>
    <row r="13" spans="1:9" ht="15" x14ac:dyDescent="0.3">
      <c r="A13" s="74" t="s">
        <v>6</v>
      </c>
      <c r="B13" s="75">
        <v>1219.3837720516426</v>
      </c>
      <c r="C13" s="75">
        <v>2561.5129186352137</v>
      </c>
      <c r="D13" s="75">
        <v>1898.5231462022282</v>
      </c>
      <c r="E13" s="75">
        <v>1464.4747182781337</v>
      </c>
      <c r="F13" s="98">
        <v>1364.2438057307199</v>
      </c>
      <c r="G13" s="47">
        <v>1563.644299867148</v>
      </c>
      <c r="H13" s="47">
        <v>1562.360947557504</v>
      </c>
      <c r="I13" s="105">
        <f t="shared" si="0"/>
        <v>-8.2074440443591357E-4</v>
      </c>
    </row>
    <row r="14" spans="1:9" ht="14.4" x14ac:dyDescent="0.3">
      <c r="A14" s="71" t="s">
        <v>7</v>
      </c>
      <c r="B14" s="72">
        <v>95.777798057500036</v>
      </c>
      <c r="C14" s="72">
        <v>133.82774326930272</v>
      </c>
      <c r="D14" s="72">
        <v>149.33129473658914</v>
      </c>
      <c r="E14" s="72">
        <v>208.82991947617785</v>
      </c>
      <c r="F14" s="97">
        <v>148.20121176777246</v>
      </c>
      <c r="G14" s="48">
        <v>144.48781716960787</v>
      </c>
      <c r="H14" s="48">
        <v>144.94556003878142</v>
      </c>
      <c r="I14" s="106">
        <f t="shared" si="0"/>
        <v>3.1680378189686831E-3</v>
      </c>
    </row>
    <row r="15" spans="1:9" ht="14.4" x14ac:dyDescent="0.3">
      <c r="A15" s="68" t="s">
        <v>8</v>
      </c>
      <c r="B15" s="69">
        <v>1106.0692590053357</v>
      </c>
      <c r="C15" s="69">
        <v>2404.4126182855216</v>
      </c>
      <c r="D15" s="69">
        <v>1725.0423179648615</v>
      </c>
      <c r="E15" s="69">
        <v>1215.1432950072922</v>
      </c>
      <c r="F15" s="96">
        <v>1127.9404761020369</v>
      </c>
      <c r="G15" s="48">
        <v>1363.343542913238</v>
      </c>
      <c r="H15" s="48">
        <v>1362.0571362176074</v>
      </c>
      <c r="I15" s="106">
        <f t="shared" si="0"/>
        <v>-9.4356752728796955E-4</v>
      </c>
    </row>
    <row r="16" spans="1:9" ht="14.4" x14ac:dyDescent="0.3">
      <c r="A16" s="71" t="s">
        <v>9</v>
      </c>
      <c r="B16" s="72">
        <v>17.536714988806992</v>
      </c>
      <c r="C16" s="72">
        <v>23.27255708038934</v>
      </c>
      <c r="D16" s="72">
        <v>24.149533500777526</v>
      </c>
      <c r="E16" s="72">
        <v>40.501503794663641</v>
      </c>
      <c r="F16" s="97">
        <v>88.102117860910639</v>
      </c>
      <c r="G16" s="48">
        <v>55.812939784301982</v>
      </c>
      <c r="H16" s="48">
        <v>55.358251301115239</v>
      </c>
      <c r="I16" s="106">
        <f t="shared" si="0"/>
        <v>-8.1466499514979418E-3</v>
      </c>
    </row>
    <row r="17" spans="1:9" ht="15" x14ac:dyDescent="0.3">
      <c r="A17" s="74" t="s">
        <v>10</v>
      </c>
      <c r="B17" s="75">
        <v>1118.7918227175571</v>
      </c>
      <c r="C17" s="75">
        <v>1388.3648228726861</v>
      </c>
      <c r="D17" s="75">
        <v>1502.5178350345896</v>
      </c>
      <c r="E17" s="75">
        <v>1693.8349592120173</v>
      </c>
      <c r="F17" s="98">
        <v>1570.8234837167063</v>
      </c>
      <c r="G17" s="47">
        <v>1690.0831863125889</v>
      </c>
      <c r="H17" s="47">
        <v>1685.6641860672182</v>
      </c>
      <c r="I17" s="105">
        <f t="shared" si="0"/>
        <v>-2.6146643438373918E-3</v>
      </c>
    </row>
    <row r="18" spans="1:9" ht="14.4" x14ac:dyDescent="0.3">
      <c r="A18" s="71" t="s">
        <v>11</v>
      </c>
      <c r="B18" s="72">
        <v>418.56439815721399</v>
      </c>
      <c r="C18" s="72">
        <v>479.35141397113148</v>
      </c>
      <c r="D18" s="72">
        <v>328.27959658303695</v>
      </c>
      <c r="E18" s="72">
        <v>569.51469484783092</v>
      </c>
      <c r="F18" s="97">
        <v>316.56575922131645</v>
      </c>
      <c r="G18" s="48">
        <v>465.54065485904277</v>
      </c>
      <c r="H18" s="48">
        <v>462.83746007467681</v>
      </c>
      <c r="I18" s="106">
        <f t="shared" si="0"/>
        <v>-5.806570825021562E-3</v>
      </c>
    </row>
    <row r="19" spans="1:9" ht="14.4" x14ac:dyDescent="0.3">
      <c r="A19" s="68" t="s">
        <v>12</v>
      </c>
      <c r="B19" s="69">
        <v>255.58703544980611</v>
      </c>
      <c r="C19" s="69">
        <v>351.1838043105202</v>
      </c>
      <c r="D19" s="69">
        <v>400.14548396924783</v>
      </c>
      <c r="E19" s="69">
        <v>299.48638464290514</v>
      </c>
      <c r="F19" s="96">
        <v>281.02202233668908</v>
      </c>
      <c r="G19" s="48">
        <v>438.09633077292142</v>
      </c>
      <c r="H19" s="48">
        <v>439.12204942317373</v>
      </c>
      <c r="I19" s="106">
        <f t="shared" si="0"/>
        <v>2.3413084707708531E-3</v>
      </c>
    </row>
    <row r="20" spans="1:9" ht="14.4" x14ac:dyDescent="0.3">
      <c r="A20" s="71" t="s">
        <v>13</v>
      </c>
      <c r="B20" s="72">
        <v>403.63982070580818</v>
      </c>
      <c r="C20" s="72">
        <v>507.20314893400035</v>
      </c>
      <c r="D20" s="72">
        <v>720.9032086132429</v>
      </c>
      <c r="E20" s="72">
        <v>641.3946067096316</v>
      </c>
      <c r="F20" s="97">
        <v>654.13366820567705</v>
      </c>
      <c r="G20" s="48">
        <v>660.01150387536393</v>
      </c>
      <c r="H20" s="48">
        <v>658.26755519452558</v>
      </c>
      <c r="I20" s="106">
        <f t="shared" si="0"/>
        <v>-2.6423004305204945E-3</v>
      </c>
    </row>
    <row r="21" spans="1:9" ht="14.4" x14ac:dyDescent="0.3">
      <c r="A21" s="68" t="s">
        <v>14</v>
      </c>
      <c r="B21" s="69">
        <v>41.000568404728938</v>
      </c>
      <c r="C21" s="69">
        <v>50.626455657034057</v>
      </c>
      <c r="D21" s="69">
        <v>53.189545869062009</v>
      </c>
      <c r="E21" s="69">
        <v>183.43927301164976</v>
      </c>
      <c r="F21" s="96">
        <v>319.10203395302369</v>
      </c>
      <c r="G21" s="48">
        <v>126.4346968052608</v>
      </c>
      <c r="H21" s="48">
        <v>125.43712137484195</v>
      </c>
      <c r="I21" s="106">
        <f t="shared" si="0"/>
        <v>-7.8900448660492728E-3</v>
      </c>
    </row>
    <row r="22" spans="1:9" ht="15" x14ac:dyDescent="0.3">
      <c r="A22" s="74" t="s">
        <v>129</v>
      </c>
      <c r="B22" s="75">
        <v>135.64297330033162</v>
      </c>
      <c r="C22" s="75">
        <v>207.25182545317327</v>
      </c>
      <c r="D22" s="75">
        <v>177.79194076026619</v>
      </c>
      <c r="E22" s="75">
        <v>261.00174814744128</v>
      </c>
      <c r="F22" s="112">
        <v>231.14890996653821</v>
      </c>
      <c r="G22" s="47">
        <v>259.88955033968756</v>
      </c>
      <c r="H22" s="47">
        <v>262.16177467175004</v>
      </c>
      <c r="I22" s="105">
        <f t="shared" si="0"/>
        <v>8.7430384526525629E-3</v>
      </c>
    </row>
    <row r="23" spans="1:9" ht="14.4" x14ac:dyDescent="0.3">
      <c r="A23" s="71" t="s">
        <v>15</v>
      </c>
      <c r="B23" s="72">
        <v>15.545711805555555</v>
      </c>
      <c r="C23" s="72">
        <v>23.752628472222224</v>
      </c>
      <c r="D23" s="72">
        <v>43.955612947466648</v>
      </c>
      <c r="E23" s="72">
        <v>20.108561139116151</v>
      </c>
      <c r="F23" s="113">
        <v>14.694562491859221</v>
      </c>
      <c r="G23" s="48">
        <v>49.266888497135</v>
      </c>
      <c r="H23" s="48">
        <v>49.697630797707994</v>
      </c>
      <c r="I23" s="106">
        <f>IFERROR(H23/G23-1,"-")</f>
        <v>8.7430384526525629E-3</v>
      </c>
    </row>
    <row r="24" spans="1:9" ht="15" x14ac:dyDescent="0.3">
      <c r="A24" s="68" t="s">
        <v>16</v>
      </c>
      <c r="B24" s="69">
        <v>26.094563022553825</v>
      </c>
      <c r="C24" s="69">
        <v>39.870445842062153</v>
      </c>
      <c r="D24" s="69">
        <v>49.213551796179367</v>
      </c>
      <c r="E24" s="69">
        <v>69.164347236052194</v>
      </c>
      <c r="F24" s="112">
        <v>88.389779140221322</v>
      </c>
      <c r="G24" s="48">
        <v>79.229832633442896</v>
      </c>
      <c r="H24" s="48">
        <v>79.922542106754321</v>
      </c>
      <c r="I24" s="106">
        <f t="shared" si="0"/>
        <v>8.7430384526525629E-3</v>
      </c>
    </row>
    <row r="25" spans="1:9" ht="14.4" x14ac:dyDescent="0.3">
      <c r="A25" s="71" t="s">
        <v>17</v>
      </c>
      <c r="B25" s="72">
        <v>27.98228125</v>
      </c>
      <c r="C25" s="72">
        <v>42.754731249999999</v>
      </c>
      <c r="D25" s="72">
        <v>31.082721004040177</v>
      </c>
      <c r="E25" s="72">
        <v>67.626664380078267</v>
      </c>
      <c r="F25" s="113">
        <v>55.099049239745433</v>
      </c>
      <c r="G25" s="48">
        <v>64.139911439666321</v>
      </c>
      <c r="H25" s="48">
        <v>64.700689151733059</v>
      </c>
      <c r="I25" s="106">
        <f t="shared" si="0"/>
        <v>8.7430384526525629E-3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66.020417222222235</v>
      </c>
      <c r="C27" s="72">
        <v>100.87401988888888</v>
      </c>
      <c r="D27" s="72">
        <v>53.540055012580005</v>
      </c>
      <c r="E27" s="72">
        <v>104.1021753921947</v>
      </c>
      <c r="F27" s="113">
        <v>72.965519094712263</v>
      </c>
      <c r="G27" s="48">
        <v>67.252917769443343</v>
      </c>
      <c r="H27" s="48">
        <v>67.840912615554672</v>
      </c>
      <c r="I27" s="106">
        <f t="shared" si="0"/>
        <v>8.7430384526525629E-3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103.25156111111114</v>
      </c>
      <c r="C31" s="66">
        <v>103.25156111111114</v>
      </c>
      <c r="D31" s="66">
        <v>156.59978276734714</v>
      </c>
      <c r="E31" s="66">
        <v>253.2175173707719</v>
      </c>
      <c r="F31" s="95">
        <v>331.90892123340217</v>
      </c>
      <c r="G31" s="47">
        <v>310.73129729186184</v>
      </c>
      <c r="H31" s="47">
        <v>312.45012993995527</v>
      </c>
      <c r="I31" s="105">
        <f t="shared" si="0"/>
        <v>5.5315723362072688E-3</v>
      </c>
    </row>
    <row r="32" spans="1:9" ht="14.4" x14ac:dyDescent="0.3">
      <c r="A32" s="68" t="s">
        <v>21</v>
      </c>
      <c r="B32" s="69">
        <v>95.487672222222258</v>
      </c>
      <c r="C32" s="69">
        <v>95.487672222222258</v>
      </c>
      <c r="D32" s="69">
        <v>135.83288498956935</v>
      </c>
      <c r="E32" s="69">
        <v>188.01697570410522</v>
      </c>
      <c r="F32" s="96">
        <v>234.38666789258306</v>
      </c>
      <c r="G32" s="48">
        <v>249.40857864499714</v>
      </c>
      <c r="H32" s="48">
        <v>250.68582683764504</v>
      </c>
      <c r="I32" s="106">
        <f t="shared" si="0"/>
        <v>5.1211077004127414E-3</v>
      </c>
    </row>
    <row r="33" spans="1:20" ht="14.4" x14ac:dyDescent="0.3">
      <c r="A33" s="71" t="s">
        <v>22</v>
      </c>
      <c r="B33" s="72">
        <v>7.7638888888888893</v>
      </c>
      <c r="C33" s="72">
        <v>7.7638888888888893</v>
      </c>
      <c r="D33" s="72">
        <v>20.766897777777778</v>
      </c>
      <c r="E33" s="72">
        <v>65.20054166666668</v>
      </c>
      <c r="F33" s="97">
        <v>97.522253340819091</v>
      </c>
      <c r="G33" s="48">
        <v>61.322718646864701</v>
      </c>
      <c r="H33" s="48">
        <v>61.764303102310251</v>
      </c>
      <c r="I33" s="106">
        <f t="shared" si="0"/>
        <v>7.2009927998866186E-3</v>
      </c>
    </row>
    <row r="34" spans="1:20" ht="15" x14ac:dyDescent="0.3">
      <c r="A34" s="74" t="s">
        <v>23</v>
      </c>
      <c r="B34" s="75">
        <v>95.186154141444447</v>
      </c>
      <c r="C34" s="75">
        <v>95.186154141444447</v>
      </c>
      <c r="D34" s="75">
        <v>118.7788237299628</v>
      </c>
      <c r="E34" s="75">
        <v>209.00704041481481</v>
      </c>
      <c r="F34" s="98">
        <v>170.7067327777778</v>
      </c>
      <c r="G34" s="47">
        <v>286.56763208333331</v>
      </c>
      <c r="H34" s="47">
        <v>286.56763208333331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91.89011247477778</v>
      </c>
      <c r="C35" s="72">
        <v>91.89011247477778</v>
      </c>
      <c r="D35" s="72">
        <v>110.71504417440724</v>
      </c>
      <c r="E35" s="72">
        <v>202.21537374814815</v>
      </c>
      <c r="F35" s="97">
        <v>164.21194111111114</v>
      </c>
      <c r="G35" s="48">
        <v>280.5726320833333</v>
      </c>
      <c r="H35" s="48">
        <v>280.5726320833333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3.296041666666667</v>
      </c>
      <c r="C36" s="69">
        <v>3.296041666666667</v>
      </c>
      <c r="D36" s="69">
        <v>8.0637795555555556</v>
      </c>
      <c r="E36" s="69">
        <v>6.791666666666667</v>
      </c>
      <c r="F36" s="96">
        <v>6.494791666666667</v>
      </c>
      <c r="G36" s="48">
        <v>5.9950000000000001</v>
      </c>
      <c r="H36" s="48">
        <v>5.9950000000000001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175.64661221111109</v>
      </c>
      <c r="C37" s="66">
        <v>200.22627506111112</v>
      </c>
      <c r="D37" s="66">
        <v>214.58074567885706</v>
      </c>
      <c r="E37" s="66">
        <v>250.11924244231861</v>
      </c>
      <c r="F37" s="95">
        <v>232.14849081053501</v>
      </c>
      <c r="G37" s="47">
        <v>266.13161343935207</v>
      </c>
      <c r="H37" s="47">
        <v>266.4885632904892</v>
      </c>
      <c r="I37" s="105">
        <f t="shared" si="0"/>
        <v>1.3412530985104087E-3</v>
      </c>
    </row>
    <row r="38" spans="1:20" ht="14.4" x14ac:dyDescent="0.3">
      <c r="A38" s="68" t="s">
        <v>27</v>
      </c>
      <c r="B38" s="69">
        <v>18.323319444444447</v>
      </c>
      <c r="C38" s="69">
        <v>18.323319444444447</v>
      </c>
      <c r="D38" s="69">
        <v>27.802820133913865</v>
      </c>
      <c r="E38" s="69">
        <v>53.600086108985259</v>
      </c>
      <c r="F38" s="96">
        <v>65.102367077201578</v>
      </c>
      <c r="G38" s="48">
        <v>62.532351759352025</v>
      </c>
      <c r="H38" s="48">
        <v>62.889301610489191</v>
      </c>
      <c r="I38" s="106">
        <f t="shared" si="0"/>
        <v>5.7082428709998023E-3</v>
      </c>
    </row>
    <row r="39" spans="1:20" ht="14.4" x14ac:dyDescent="0.3">
      <c r="A39" s="71" t="s">
        <v>28</v>
      </c>
      <c r="B39" s="72">
        <v>66.291329999999988</v>
      </c>
      <c r="C39" s="72">
        <v>77.91292</v>
      </c>
      <c r="D39" s="72">
        <v>79.065803250000016</v>
      </c>
      <c r="E39" s="72">
        <v>83.960999999999999</v>
      </c>
      <c r="F39" s="97">
        <v>70.025760000000034</v>
      </c>
      <c r="G39" s="48">
        <v>87.656400000000005</v>
      </c>
      <c r="H39" s="48">
        <v>87.656400000000005</v>
      </c>
      <c r="I39" s="106">
        <f t="shared" si="0"/>
        <v>0</v>
      </c>
    </row>
    <row r="40" spans="1:20" ht="14.4" x14ac:dyDescent="0.3">
      <c r="A40" s="68" t="s">
        <v>29</v>
      </c>
      <c r="B40" s="69">
        <v>66.291329999999988</v>
      </c>
      <c r="C40" s="69">
        <v>77.91292</v>
      </c>
      <c r="D40" s="69">
        <v>79.065803250000016</v>
      </c>
      <c r="E40" s="69">
        <v>83.960999999999999</v>
      </c>
      <c r="F40" s="96">
        <v>70.025760000000034</v>
      </c>
      <c r="G40" s="48">
        <v>87.656400000000005</v>
      </c>
      <c r="H40" s="48">
        <v>87.656400000000005</v>
      </c>
      <c r="I40" s="106">
        <f t="shared" si="0"/>
        <v>0</v>
      </c>
    </row>
    <row r="41" spans="1:20" ht="14.4" x14ac:dyDescent="0.3">
      <c r="A41" s="71" t="s">
        <v>30</v>
      </c>
      <c r="B41" s="72">
        <v>11.870463150000001</v>
      </c>
      <c r="C41" s="72">
        <v>11.870463150000001</v>
      </c>
      <c r="D41" s="72">
        <v>13.995796115637573</v>
      </c>
      <c r="E41" s="72">
        <v>13.070808000000001</v>
      </c>
      <c r="F41" s="97">
        <v>13.070808000000001</v>
      </c>
      <c r="G41" s="48">
        <v>12.54797568</v>
      </c>
      <c r="H41" s="48">
        <v>12.54797568</v>
      </c>
      <c r="I41" s="106">
        <f t="shared" si="0"/>
        <v>0</v>
      </c>
    </row>
    <row r="42" spans="1:20" ht="14.4" x14ac:dyDescent="0.3">
      <c r="A42" s="68" t="s">
        <v>31</v>
      </c>
      <c r="B42" s="69">
        <v>7.6235029499999998</v>
      </c>
      <c r="C42" s="69">
        <v>8.9599858000000001</v>
      </c>
      <c r="D42" s="69">
        <v>9.0925673737499988</v>
      </c>
      <c r="E42" s="69">
        <v>9.6555149999999994</v>
      </c>
      <c r="F42" s="96">
        <v>8.052962400000002</v>
      </c>
      <c r="G42" s="48">
        <v>10.080485999999999</v>
      </c>
      <c r="H42" s="48">
        <v>10.080485999999999</v>
      </c>
      <c r="I42" s="106">
        <f t="shared" si="0"/>
        <v>0</v>
      </c>
    </row>
    <row r="43" spans="1:20" ht="14.4" x14ac:dyDescent="0.3">
      <c r="A43" s="71" t="s">
        <v>32</v>
      </c>
      <c r="B43" s="72">
        <v>5.2466666666666679</v>
      </c>
      <c r="C43" s="72">
        <v>5.2466666666666679</v>
      </c>
      <c r="D43" s="72">
        <v>5.5579555555555542</v>
      </c>
      <c r="E43" s="72">
        <v>5.8708333333333345</v>
      </c>
      <c r="F43" s="97">
        <v>5.8708333333333345</v>
      </c>
      <c r="G43" s="48">
        <v>5.6580000000000004</v>
      </c>
      <c r="H43" s="48">
        <v>5.6580000000000004</v>
      </c>
      <c r="I43" s="106">
        <f t="shared" si="0"/>
        <v>0</v>
      </c>
    </row>
    <row r="44" spans="1:20" ht="15" x14ac:dyDescent="0.3">
      <c r="A44" s="74" t="s">
        <v>33</v>
      </c>
      <c r="B44" s="75">
        <v>313.53063817351403</v>
      </c>
      <c r="C44" s="75">
        <v>476.71905921200101</v>
      </c>
      <c r="D44" s="75">
        <v>366.88470491011196</v>
      </c>
      <c r="E44" s="75">
        <v>434.70117352085413</v>
      </c>
      <c r="F44" s="98">
        <v>372.50976985593263</v>
      </c>
      <c r="G44" s="47">
        <v>400.90144475673787</v>
      </c>
      <c r="H44" s="47">
        <v>399.30971649294077</v>
      </c>
      <c r="I44" s="105">
        <f t="shared" si="0"/>
        <v>-3.9703729797305742E-3</v>
      </c>
    </row>
    <row r="45" spans="1:20" ht="14.4" x14ac:dyDescent="0.3">
      <c r="A45" s="71" t="s">
        <v>34</v>
      </c>
      <c r="B45" s="72">
        <v>286.17040583347836</v>
      </c>
      <c r="C45" s="72">
        <v>440.24527727004516</v>
      </c>
      <c r="D45" s="72">
        <v>315.231279385481</v>
      </c>
      <c r="E45" s="72">
        <v>400.74411399653991</v>
      </c>
      <c r="F45" s="97">
        <v>343.52076269829803</v>
      </c>
      <c r="G45" s="48">
        <v>370.49587189608383</v>
      </c>
      <c r="H45" s="48">
        <v>368.90414363228672</v>
      </c>
      <c r="I45" s="106">
        <f t="shared" si="0"/>
        <v>-4.2962105236183934E-3</v>
      </c>
    </row>
    <row r="46" spans="1:20" ht="14.4" x14ac:dyDescent="0.3">
      <c r="A46" s="68" t="s">
        <v>35</v>
      </c>
      <c r="B46" s="69">
        <v>16.927018428431889</v>
      </c>
      <c r="C46" s="69">
        <v>26.040568030352087</v>
      </c>
      <c r="D46" s="69">
        <v>27.948962790203861</v>
      </c>
      <c r="E46" s="69">
        <v>0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10.433213911603774</v>
      </c>
      <c r="C47" s="72">
        <v>10.433213911603774</v>
      </c>
      <c r="D47" s="72">
        <v>23.704462734427114</v>
      </c>
      <c r="E47" s="72">
        <v>33.957059524314211</v>
      </c>
      <c r="F47" s="97">
        <v>28.9890071576346</v>
      </c>
      <c r="G47" s="48">
        <v>30.405572860654065</v>
      </c>
      <c r="H47" s="48">
        <v>30.405572860654065</v>
      </c>
      <c r="I47" s="106">
        <f t="shared" si="0"/>
        <v>0</v>
      </c>
    </row>
    <row r="48" spans="1:20" ht="15" x14ac:dyDescent="0.3">
      <c r="A48" s="74" t="s">
        <v>37</v>
      </c>
      <c r="B48" s="75">
        <v>173.6</v>
      </c>
      <c r="C48" s="75">
        <v>173.6</v>
      </c>
      <c r="D48" s="75">
        <v>183.53838801293966</v>
      </c>
      <c r="E48" s="75">
        <v>216</v>
      </c>
      <c r="F48" s="98">
        <v>144</v>
      </c>
      <c r="G48" s="47">
        <v>150</v>
      </c>
      <c r="H48" s="47">
        <v>150</v>
      </c>
      <c r="I48" s="105">
        <f t="shared" si="0"/>
        <v>0</v>
      </c>
    </row>
    <row r="49" spans="1:9" ht="14.4" x14ac:dyDescent="0.3">
      <c r="A49" s="71" t="s">
        <v>62</v>
      </c>
      <c r="B49" s="72">
        <v>62.000000000000007</v>
      </c>
      <c r="C49" s="72">
        <v>62.000000000000007</v>
      </c>
      <c r="D49" s="72">
        <v>65.478560047859546</v>
      </c>
      <c r="E49" s="72">
        <v>0</v>
      </c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37.199999999999996</v>
      </c>
      <c r="C50" s="69">
        <v>37.199999999999996</v>
      </c>
      <c r="D50" s="69">
        <v>41.668174575910626</v>
      </c>
      <c r="E50" s="69">
        <v>0</v>
      </c>
      <c r="F50" s="96">
        <v>0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74.399999999999991</v>
      </c>
      <c r="C51" s="72">
        <v>74.399999999999991</v>
      </c>
      <c r="D51" s="72">
        <v>76.391653389169477</v>
      </c>
      <c r="E51" s="72">
        <v>216</v>
      </c>
      <c r="F51" s="97">
        <v>144</v>
      </c>
      <c r="G51" s="48">
        <v>150</v>
      </c>
      <c r="H51" s="48">
        <v>150</v>
      </c>
      <c r="I51" s="106">
        <f t="shared" si="0"/>
        <v>0</v>
      </c>
    </row>
    <row r="52" spans="1:9" ht="15" x14ac:dyDescent="0.3">
      <c r="A52" s="74" t="s">
        <v>40</v>
      </c>
      <c r="B52" s="75">
        <v>86.136675782393041</v>
      </c>
      <c r="C52" s="75">
        <v>98.15864548027011</v>
      </c>
      <c r="D52" s="75">
        <v>106.62752747191597</v>
      </c>
      <c r="E52" s="75">
        <v>131.59950703265778</v>
      </c>
      <c r="F52" s="98">
        <v>133.47731451576425</v>
      </c>
      <c r="G52" s="47">
        <v>145.73344584945889</v>
      </c>
      <c r="H52" s="47">
        <v>146.10408933747337</v>
      </c>
      <c r="I52" s="105">
        <f t="shared" si="0"/>
        <v>2.543297359463681E-3</v>
      </c>
    </row>
    <row r="53" spans="1:9" ht="14.4" x14ac:dyDescent="0.3">
      <c r="A53" s="71" t="s">
        <v>41</v>
      </c>
      <c r="B53" s="72">
        <v>5.1120361990597152</v>
      </c>
      <c r="C53" s="72">
        <v>7.8643694386034433</v>
      </c>
      <c r="D53" s="72">
        <v>8.440713295952321</v>
      </c>
      <c r="E53" s="72">
        <v>4.4915533398930201</v>
      </c>
      <c r="F53" s="97">
        <v>2.0694628934423869</v>
      </c>
      <c r="G53" s="48">
        <v>2.2319683184213202</v>
      </c>
      <c r="H53" s="48">
        <v>2.2223793126433358</v>
      </c>
      <c r="I53" s="106">
        <f t="shared" si="0"/>
        <v>-4.2962105236182824E-3</v>
      </c>
    </row>
    <row r="54" spans="1:9" ht="14.4" x14ac:dyDescent="0.3">
      <c r="A54" s="68" t="s">
        <v>42</v>
      </c>
      <c r="B54" s="69">
        <v>17.649639583333332</v>
      </c>
      <c r="C54" s="69">
        <v>26.919276041666667</v>
      </c>
      <c r="D54" s="69">
        <v>20.629711953741445</v>
      </c>
      <c r="E54" s="69">
        <v>19.18962035943143</v>
      </c>
      <c r="F54" s="96">
        <v>19.45201828898854</v>
      </c>
      <c r="G54" s="48">
        <v>18.231477531037587</v>
      </c>
      <c r="H54" s="48">
        <v>18.38923002483007</v>
      </c>
      <c r="I54" s="106">
        <f t="shared" si="0"/>
        <v>8.652754200745516E-3</v>
      </c>
    </row>
    <row r="55" spans="1:9" ht="14.4" x14ac:dyDescent="0.3">
      <c r="A55" s="71" t="s">
        <v>43</v>
      </c>
      <c r="B55" s="72">
        <v>63.375</v>
      </c>
      <c r="C55" s="72">
        <v>63.375</v>
      </c>
      <c r="D55" s="72">
        <v>77.557102222222198</v>
      </c>
      <c r="E55" s="72">
        <v>107.91833333333334</v>
      </c>
      <c r="F55" s="97">
        <v>111.95583333333332</v>
      </c>
      <c r="G55" s="48">
        <v>125.26999999999998</v>
      </c>
      <c r="H55" s="48">
        <v>125.49247999999997</v>
      </c>
      <c r="I55" s="106">
        <f t="shared" si="0"/>
        <v>1.7760038317233828E-3</v>
      </c>
    </row>
    <row r="56" spans="1:9" s="4" customFormat="1" ht="15" x14ac:dyDescent="0.3">
      <c r="A56" s="74" t="s">
        <v>44</v>
      </c>
      <c r="B56" s="75">
        <v>397.66125430585856</v>
      </c>
      <c r="C56" s="75">
        <v>443.98950605335767</v>
      </c>
      <c r="D56" s="75">
        <v>313.60101985036505</v>
      </c>
      <c r="E56" s="75">
        <v>214.10356014975414</v>
      </c>
      <c r="F56" s="98">
        <v>216.35291167806903</v>
      </c>
      <c r="G56" s="47">
        <v>235.81047160678233</v>
      </c>
      <c r="H56" s="47">
        <v>233.94766398545744</v>
      </c>
      <c r="I56" s="105">
        <f t="shared" si="0"/>
        <v>-7.8995966914953142E-3</v>
      </c>
    </row>
    <row r="57" spans="1:9" ht="14.4" x14ac:dyDescent="0.3">
      <c r="A57" s="71" t="s">
        <v>45</v>
      </c>
      <c r="B57" s="72">
        <v>397.66125430585856</v>
      </c>
      <c r="C57" s="72">
        <v>443.98950605335767</v>
      </c>
      <c r="D57" s="72">
        <v>313.60101985036505</v>
      </c>
      <c r="E57" s="72">
        <v>214.10356014975414</v>
      </c>
      <c r="F57" s="97">
        <v>216.35291167806903</v>
      </c>
      <c r="G57" s="48">
        <v>235.81047160678233</v>
      </c>
      <c r="H57" s="48">
        <v>233.94766398545744</v>
      </c>
      <c r="I57" s="106">
        <f t="shared" si="0"/>
        <v>-7.8995966914953142E-3</v>
      </c>
    </row>
    <row r="58" spans="1:9" ht="15" x14ac:dyDescent="0.3">
      <c r="A58" s="62" t="s">
        <v>46</v>
      </c>
      <c r="B58" s="63">
        <v>4329.6449022966499</v>
      </c>
      <c r="C58" s="63">
        <v>6605.3600092679135</v>
      </c>
      <c r="D58" s="63">
        <v>5523.890865727767</v>
      </c>
      <c r="E58" s="63">
        <v>5912.7533754996548</v>
      </c>
      <c r="F58" s="99">
        <v>5494.5135601497786</v>
      </c>
      <c r="G58" s="46">
        <v>5894.7608823770097</v>
      </c>
      <c r="H58" s="46">
        <v>5880.4066520868691</v>
      </c>
      <c r="I58" s="104">
        <f t="shared" si="0"/>
        <v>-2.4350827076046189E-3</v>
      </c>
    </row>
    <row r="59" spans="1:9" ht="15" x14ac:dyDescent="0.3">
      <c r="A59" s="65" t="s">
        <v>47</v>
      </c>
      <c r="B59" s="66">
        <v>201.32668318555628</v>
      </c>
      <c r="C59" s="66">
        <v>201.32668318555628</v>
      </c>
      <c r="D59" s="66">
        <v>393.92597514615528</v>
      </c>
      <c r="E59" s="66">
        <v>557.52769954485404</v>
      </c>
      <c r="F59" s="95">
        <v>497.9794894008071</v>
      </c>
      <c r="G59" s="47">
        <v>502.37828877113742</v>
      </c>
      <c r="H59" s="47">
        <v>502.37828877113742</v>
      </c>
      <c r="I59" s="105">
        <f t="shared" si="0"/>
        <v>0</v>
      </c>
    </row>
    <row r="60" spans="1:9" ht="14.4" x14ac:dyDescent="0.3">
      <c r="A60" s="68" t="s">
        <v>48</v>
      </c>
      <c r="B60" s="69">
        <v>127.78452006841873</v>
      </c>
      <c r="C60" s="69">
        <v>127.78452006841873</v>
      </c>
      <c r="D60" s="69">
        <v>282.65199303004874</v>
      </c>
      <c r="E60" s="69">
        <v>407.41270050630004</v>
      </c>
      <c r="F60" s="96">
        <v>349.05192724644894</v>
      </c>
      <c r="G60" s="48">
        <v>307.39611624404716</v>
      </c>
      <c r="H60" s="48">
        <v>307.39611624404716</v>
      </c>
      <c r="I60" s="106">
        <f t="shared" si="0"/>
        <v>0</v>
      </c>
    </row>
    <row r="61" spans="1:9" ht="14.4" x14ac:dyDescent="0.3">
      <c r="A61" s="71" t="s">
        <v>49</v>
      </c>
      <c r="B61" s="72">
        <v>44.08632978380421</v>
      </c>
      <c r="C61" s="72">
        <v>44.08632978380421</v>
      </c>
      <c r="D61" s="72">
        <v>62.608552782773209</v>
      </c>
      <c r="E61" s="72">
        <v>104.5483323718873</v>
      </c>
      <c r="F61" s="97">
        <v>104.54839548769148</v>
      </c>
      <c r="G61" s="48">
        <v>153.33817252709025</v>
      </c>
      <c r="H61" s="48">
        <v>153.33817252709025</v>
      </c>
      <c r="I61" s="106">
        <f t="shared" si="0"/>
        <v>0</v>
      </c>
    </row>
    <row r="62" spans="1:9" ht="14.4" x14ac:dyDescent="0.3">
      <c r="A62" s="68" t="s">
        <v>50</v>
      </c>
      <c r="B62" s="69">
        <v>3.4666666666666681</v>
      </c>
      <c r="C62" s="69">
        <v>3.4666666666666681</v>
      </c>
      <c r="D62" s="69">
        <v>3.8769777777777796</v>
      </c>
      <c r="E62" s="69">
        <v>3.8333333333333339</v>
      </c>
      <c r="F62" s="96">
        <v>3.8333333333333339</v>
      </c>
      <c r="G62" s="48">
        <v>3.68</v>
      </c>
      <c r="H62" s="48">
        <v>3.6800000000000006</v>
      </c>
      <c r="I62" s="106">
        <f t="shared" si="0"/>
        <v>2.2204460492503131E-16</v>
      </c>
    </row>
    <row r="63" spans="1:9" ht="14.4" x14ac:dyDescent="0.3">
      <c r="A63" s="71" t="s">
        <v>51</v>
      </c>
      <c r="B63" s="72">
        <v>11.613333333333332</v>
      </c>
      <c r="C63" s="72">
        <v>11.613333333333332</v>
      </c>
      <c r="D63" s="72">
        <v>12.533333333333333</v>
      </c>
      <c r="E63" s="72">
        <v>14.566666666666665</v>
      </c>
      <c r="F63" s="97">
        <v>14.566666666666665</v>
      </c>
      <c r="G63" s="48">
        <v>13.984</v>
      </c>
      <c r="H63" s="48">
        <v>13.984</v>
      </c>
      <c r="I63" s="106">
        <f t="shared" si="0"/>
        <v>0</v>
      </c>
    </row>
    <row r="64" spans="1:9" ht="14.4" x14ac:dyDescent="0.3">
      <c r="A64" s="68" t="s">
        <v>52</v>
      </c>
      <c r="B64" s="69">
        <v>14.375833333333333</v>
      </c>
      <c r="C64" s="69">
        <v>14.375833333333333</v>
      </c>
      <c r="D64" s="69">
        <v>32.255118222222222</v>
      </c>
      <c r="E64" s="69">
        <v>27.166666666666668</v>
      </c>
      <c r="F64" s="96">
        <v>25.979166666666668</v>
      </c>
      <c r="G64" s="48">
        <v>23.98</v>
      </c>
      <c r="H64" s="48">
        <v>23.98</v>
      </c>
      <c r="I64" s="106">
        <f t="shared" si="0"/>
        <v>0</v>
      </c>
    </row>
    <row r="65" spans="1:9" ht="15" x14ac:dyDescent="0.3">
      <c r="A65" s="65" t="s">
        <v>53</v>
      </c>
      <c r="B65" s="66">
        <v>65</v>
      </c>
      <c r="C65" s="66">
        <v>65</v>
      </c>
      <c r="D65" s="66">
        <v>75.19999999999996</v>
      </c>
      <c r="E65" s="66">
        <v>150</v>
      </c>
      <c r="F65" s="95">
        <v>143.42815514640054</v>
      </c>
      <c r="G65" s="47">
        <v>139.81032800610262</v>
      </c>
      <c r="H65" s="47">
        <v>139.6819255078201</v>
      </c>
      <c r="I65" s="105">
        <f t="shared" si="0"/>
        <v>-9.1840495701378533E-4</v>
      </c>
    </row>
    <row r="66" spans="1:9" ht="14.4" x14ac:dyDescent="0.3">
      <c r="A66" s="68" t="s">
        <v>54</v>
      </c>
      <c r="B66" s="69">
        <v>65</v>
      </c>
      <c r="C66" s="69">
        <v>65</v>
      </c>
      <c r="D66" s="69">
        <v>75.19999999999996</v>
      </c>
      <c r="E66" s="69">
        <v>150</v>
      </c>
      <c r="F66" s="96">
        <v>143.42815514640054</v>
      </c>
      <c r="G66" s="48">
        <v>139.81032800610262</v>
      </c>
      <c r="H66" s="48">
        <v>139.6819255078201</v>
      </c>
      <c r="I66" s="106">
        <f t="shared" si="0"/>
        <v>-9.1840495701378533E-4</v>
      </c>
    </row>
    <row r="67" spans="1:9" ht="15" x14ac:dyDescent="0.3">
      <c r="A67" s="78" t="s">
        <v>55</v>
      </c>
      <c r="B67" s="79">
        <v>4595.9715854822061</v>
      </c>
      <c r="C67" s="79">
        <v>6871.6866924534697</v>
      </c>
      <c r="D67" s="79">
        <v>5993.0168408739228</v>
      </c>
      <c r="E67" s="79">
        <v>6620.2810750445087</v>
      </c>
      <c r="F67" s="100">
        <v>6135.921204696986</v>
      </c>
      <c r="G67" s="46">
        <v>6536.9494991542497</v>
      </c>
      <c r="H67" s="46">
        <v>6522.4668663658267</v>
      </c>
      <c r="I67" s="104">
        <f t="shared" si="0"/>
        <v>-2.2155032389796769E-3</v>
      </c>
    </row>
    <row r="68" spans="1:9" ht="15" x14ac:dyDescent="0.3">
      <c r="A68" s="74" t="s">
        <v>63</v>
      </c>
      <c r="B68" s="75">
        <v>1064.449361962066</v>
      </c>
      <c r="C68" s="75">
        <v>1318.350248254126</v>
      </c>
      <c r="D68" s="75">
        <v>1504.9150898422561</v>
      </c>
      <c r="E68" s="75">
        <v>1489.1516232024983</v>
      </c>
      <c r="F68" s="98">
        <v>1617.8171828639904</v>
      </c>
      <c r="G68" s="47">
        <v>1795.3614115020885</v>
      </c>
      <c r="H68" s="47">
        <v>1787.0471704967706</v>
      </c>
      <c r="I68" s="105">
        <f t="shared" si="0"/>
        <v>-4.6309567266246132E-3</v>
      </c>
    </row>
    <row r="69" spans="1:9" ht="14.4" x14ac:dyDescent="0.3">
      <c r="A69" s="71" t="s">
        <v>56</v>
      </c>
      <c r="B69" s="72">
        <v>927.87626004700348</v>
      </c>
      <c r="C69" s="72">
        <v>1035.9755141245016</v>
      </c>
      <c r="D69" s="72">
        <v>904.51864403121772</v>
      </c>
      <c r="E69" s="72">
        <v>856.41424059901658</v>
      </c>
      <c r="F69" s="97">
        <v>865.41164671227614</v>
      </c>
      <c r="G69" s="48">
        <v>943.24188642712932</v>
      </c>
      <c r="H69" s="48">
        <v>935.79065594182975</v>
      </c>
      <c r="I69" s="106">
        <f t="shared" si="0"/>
        <v>-7.8995966914953142E-3</v>
      </c>
    </row>
    <row r="70" spans="1:9" ht="14.4" x14ac:dyDescent="0.3">
      <c r="A70" s="68" t="s">
        <v>57</v>
      </c>
      <c r="B70" s="69">
        <v>40.896289592478212</v>
      </c>
      <c r="C70" s="69">
        <v>112.61483448781696</v>
      </c>
      <c r="D70" s="69">
        <v>115.1007500788272</v>
      </c>
      <c r="E70" s="69">
        <v>100.4156258876443</v>
      </c>
      <c r="F70" s="96">
        <v>168.7506982046724</v>
      </c>
      <c r="G70" s="48">
        <v>200.87714865792066</v>
      </c>
      <c r="H70" s="48">
        <v>200.01413813790205</v>
      </c>
      <c r="I70" s="106">
        <f t="shared" si="0"/>
        <v>-4.2962105236183934E-3</v>
      </c>
    </row>
    <row r="71" spans="1:9" ht="14.4" x14ac:dyDescent="0.3">
      <c r="A71" s="71" t="s">
        <v>58</v>
      </c>
      <c r="B71" s="72">
        <v>77.850562322584167</v>
      </c>
      <c r="C71" s="72">
        <v>138.13068523208509</v>
      </c>
      <c r="D71" s="72">
        <v>375.42669928776672</v>
      </c>
      <c r="E71" s="72">
        <v>456.48147893805964</v>
      </c>
      <c r="F71" s="97">
        <v>495.97515044704187</v>
      </c>
      <c r="G71" s="48">
        <v>561.31737641703864</v>
      </c>
      <c r="H71" s="48">
        <v>561.31737641703864</v>
      </c>
      <c r="I71" s="106">
        <f t="shared" si="0"/>
        <v>0</v>
      </c>
    </row>
    <row r="72" spans="1:9" ht="14.4" x14ac:dyDescent="0.3">
      <c r="A72" s="68" t="s">
        <v>59</v>
      </c>
      <c r="B72" s="69">
        <v>17.826250000000005</v>
      </c>
      <c r="C72" s="69">
        <v>31.629214409722223</v>
      </c>
      <c r="D72" s="69">
        <v>109.86899644444442</v>
      </c>
      <c r="E72" s="69">
        <v>75.840277777777771</v>
      </c>
      <c r="F72" s="96">
        <v>87.6796875</v>
      </c>
      <c r="G72" s="49">
        <v>89.924999999999997</v>
      </c>
      <c r="H72" s="49">
        <v>89.924999999999997</v>
      </c>
      <c r="I72" s="107">
        <f t="shared" si="0"/>
        <v>0</v>
      </c>
    </row>
    <row r="73" spans="1:9" ht="15" x14ac:dyDescent="0.3">
      <c r="A73" s="81" t="s">
        <v>60</v>
      </c>
      <c r="B73" s="82">
        <v>5660.4209474442723</v>
      </c>
      <c r="C73" s="82">
        <v>8190.0369407075959</v>
      </c>
      <c r="D73" s="82">
        <v>7497.9319307161786</v>
      </c>
      <c r="E73" s="82">
        <v>8109.4326982470066</v>
      </c>
      <c r="F73" s="100">
        <v>7753.7383875609767</v>
      </c>
      <c r="G73" s="46">
        <v>8332.3109106563388</v>
      </c>
      <c r="H73" s="46">
        <v>8309.514036862598</v>
      </c>
      <c r="I73" s="104">
        <f t="shared" si="0"/>
        <v>-2.7359605322199165E-3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62</v>
      </c>
      <c r="C75" s="86">
        <v>62</v>
      </c>
      <c r="D75" s="86">
        <v>58.95</v>
      </c>
      <c r="E75" s="86">
        <v>58.95</v>
      </c>
      <c r="F75" s="86">
        <v>48</v>
      </c>
      <c r="G75" s="108">
        <v>48</v>
      </c>
      <c r="H75" s="108">
        <v>48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1" customHeight="1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/>
    <row r="83" spans="1:9" ht="37.950000000000003" hidden="1" customHeight="1" x14ac:dyDescent="0.3">
      <c r="A83" s="125"/>
      <c r="B83" s="125"/>
      <c r="C83" s="125"/>
      <c r="D83" s="125"/>
      <c r="E83" s="125"/>
      <c r="F83" s="125"/>
      <c r="G83" s="125"/>
    </row>
  </sheetData>
  <mergeCells count="5">
    <mergeCell ref="A2:I2"/>
    <mergeCell ref="A3:I3"/>
    <mergeCell ref="A4:I4"/>
    <mergeCell ref="A80:I80"/>
    <mergeCell ref="A83:G83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0D8F-FD9B-4E80-9F78-3F7CA9B3C3C2}">
  <dimension ref="A1:T84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133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/>
      <c r="C9" s="64"/>
      <c r="D9" s="63"/>
      <c r="E9" s="63"/>
      <c r="F9" s="99">
        <v>4159.1191948668084</v>
      </c>
      <c r="G9" s="46">
        <v>4172.2110199674535</v>
      </c>
      <c r="H9" s="46">
        <v>4207.8969379558603</v>
      </c>
      <c r="I9" s="104">
        <f>IFERROR(H9/G9-1,"-")</f>
        <v>8.5532389942934994E-3</v>
      </c>
    </row>
    <row r="10" spans="1:9" ht="15" x14ac:dyDescent="0.3">
      <c r="A10" s="65" t="s">
        <v>3</v>
      </c>
      <c r="B10" s="66"/>
      <c r="C10" s="66"/>
      <c r="D10" s="66"/>
      <c r="E10" s="66"/>
      <c r="F10" s="95">
        <v>394.25920478434404</v>
      </c>
      <c r="G10" s="47">
        <v>335.21879999999999</v>
      </c>
      <c r="H10" s="47">
        <v>325.49357493937612</v>
      </c>
      <c r="I10" s="105">
        <f t="shared" ref="I10:I73" si="0">IFERROR(H10/G10-1,"-")</f>
        <v>-2.9011574114052863E-2</v>
      </c>
    </row>
    <row r="11" spans="1:9" ht="14.4" x14ac:dyDescent="0.3">
      <c r="A11" s="68" t="s">
        <v>4</v>
      </c>
      <c r="B11" s="69"/>
      <c r="C11" s="69"/>
      <c r="D11" s="69"/>
      <c r="E11" s="69"/>
      <c r="F11" s="96">
        <v>367.61920478434405</v>
      </c>
      <c r="G11" s="48">
        <v>317.79480000000001</v>
      </c>
      <c r="H11" s="48">
        <v>311.09357493937614</v>
      </c>
      <c r="I11" s="106">
        <f t="shared" si="0"/>
        <v>-2.1086641633607184E-2</v>
      </c>
    </row>
    <row r="12" spans="1:9" ht="14.4" x14ac:dyDescent="0.3">
      <c r="A12" s="71" t="s">
        <v>5</v>
      </c>
      <c r="B12" s="72"/>
      <c r="C12" s="72"/>
      <c r="D12" s="72"/>
      <c r="E12" s="72"/>
      <c r="F12" s="97">
        <v>26.640000000000004</v>
      </c>
      <c r="G12" s="48">
        <v>17.424000000000003</v>
      </c>
      <c r="H12" s="48">
        <v>14.4</v>
      </c>
      <c r="I12" s="106">
        <f t="shared" si="0"/>
        <v>-0.17355371900826455</v>
      </c>
    </row>
    <row r="13" spans="1:9" ht="15" x14ac:dyDescent="0.3">
      <c r="A13" s="74" t="s">
        <v>6</v>
      </c>
      <c r="B13" s="75"/>
      <c r="C13" s="75"/>
      <c r="D13" s="75"/>
      <c r="E13" s="75"/>
      <c r="F13" s="98">
        <v>1602.1806608089573</v>
      </c>
      <c r="G13" s="47">
        <v>1688.4298882964408</v>
      </c>
      <c r="H13" s="47">
        <v>1694.7307723254808</v>
      </c>
      <c r="I13" s="105">
        <f t="shared" si="0"/>
        <v>3.7318008125273305E-3</v>
      </c>
    </row>
    <row r="14" spans="1:9" ht="14.4" x14ac:dyDescent="0.3">
      <c r="A14" s="71" t="s">
        <v>7</v>
      </c>
      <c r="B14" s="72"/>
      <c r="C14" s="72"/>
      <c r="D14" s="72"/>
      <c r="E14" s="72"/>
      <c r="F14" s="97">
        <v>210.53471006732201</v>
      </c>
      <c r="G14" s="48">
        <v>222.3</v>
      </c>
      <c r="H14" s="48">
        <v>211.69568408588449</v>
      </c>
      <c r="I14" s="106">
        <f t="shared" si="0"/>
        <v>-4.7702725659539036E-2</v>
      </c>
    </row>
    <row r="15" spans="1:9" ht="14.4" x14ac:dyDescent="0.3">
      <c r="A15" s="68" t="s">
        <v>8</v>
      </c>
      <c r="B15" s="69"/>
      <c r="C15" s="69"/>
      <c r="D15" s="69"/>
      <c r="E15" s="69"/>
      <c r="F15" s="96">
        <v>1163.0789512505426</v>
      </c>
      <c r="G15" s="48">
        <v>1231.5605212795545</v>
      </c>
      <c r="H15" s="48">
        <v>1248.2768792782674</v>
      </c>
      <c r="I15" s="106">
        <f t="shared" si="0"/>
        <v>1.3573314270698855E-2</v>
      </c>
    </row>
    <row r="16" spans="1:9" ht="14.4" x14ac:dyDescent="0.3">
      <c r="A16" s="71" t="s">
        <v>9</v>
      </c>
      <c r="B16" s="72"/>
      <c r="C16" s="72"/>
      <c r="D16" s="72"/>
      <c r="E16" s="72"/>
      <c r="F16" s="97">
        <v>228.56699949109282</v>
      </c>
      <c r="G16" s="48">
        <v>234.56936701688645</v>
      </c>
      <c r="H16" s="48">
        <v>234.75820896132888</v>
      </c>
      <c r="I16" s="106">
        <f t="shared" si="0"/>
        <v>8.0505799561136904E-4</v>
      </c>
    </row>
    <row r="17" spans="1:9" ht="15" x14ac:dyDescent="0.3">
      <c r="A17" s="74" t="s">
        <v>10</v>
      </c>
      <c r="B17" s="75"/>
      <c r="C17" s="75"/>
      <c r="D17" s="75"/>
      <c r="E17" s="75"/>
      <c r="F17" s="98">
        <v>1603.2183345811998</v>
      </c>
      <c r="G17" s="47">
        <v>1593.1420978847541</v>
      </c>
      <c r="H17" s="47">
        <v>1631.3051929038777</v>
      </c>
      <c r="I17" s="105">
        <f t="shared" si="0"/>
        <v>2.3954608361547614E-2</v>
      </c>
    </row>
    <row r="18" spans="1:9" ht="14.4" x14ac:dyDescent="0.3">
      <c r="A18" s="71" t="s">
        <v>11</v>
      </c>
      <c r="B18" s="72"/>
      <c r="C18" s="72"/>
      <c r="D18" s="72"/>
      <c r="E18" s="72"/>
      <c r="F18" s="97">
        <v>592.818533120707</v>
      </c>
      <c r="G18" s="48">
        <v>570.42116695829691</v>
      </c>
      <c r="H18" s="48">
        <v>579.08869952470786</v>
      </c>
      <c r="I18" s="106">
        <f t="shared" si="0"/>
        <v>1.5194970082596182E-2</v>
      </c>
    </row>
    <row r="19" spans="1:9" ht="14.4" x14ac:dyDescent="0.3">
      <c r="A19" s="68" t="s">
        <v>12</v>
      </c>
      <c r="B19" s="69"/>
      <c r="C19" s="69"/>
      <c r="D19" s="69"/>
      <c r="E19" s="69"/>
      <c r="F19" s="96">
        <v>260.02982434200686</v>
      </c>
      <c r="G19" s="48">
        <v>260.92616605865271</v>
      </c>
      <c r="H19" s="48">
        <v>267.89704883944603</v>
      </c>
      <c r="I19" s="106">
        <f t="shared" si="0"/>
        <v>2.6715920775942203E-2</v>
      </c>
    </row>
    <row r="20" spans="1:9" ht="14.4" x14ac:dyDescent="0.3">
      <c r="A20" s="71" t="s">
        <v>13</v>
      </c>
      <c r="B20" s="72"/>
      <c r="C20" s="72"/>
      <c r="D20" s="72"/>
      <c r="E20" s="72"/>
      <c r="F20" s="97">
        <v>538.71448412039763</v>
      </c>
      <c r="G20" s="48">
        <v>549.98158831401747</v>
      </c>
      <c r="H20" s="48">
        <v>572.63199504346017</v>
      </c>
      <c r="I20" s="106">
        <f t="shared" si="0"/>
        <v>4.1183936354811657E-2</v>
      </c>
    </row>
    <row r="21" spans="1:9" ht="14.4" x14ac:dyDescent="0.3">
      <c r="A21" s="68" t="s">
        <v>14</v>
      </c>
      <c r="B21" s="69"/>
      <c r="C21" s="69"/>
      <c r="D21" s="69"/>
      <c r="E21" s="69"/>
      <c r="F21" s="96">
        <v>211.65549299808816</v>
      </c>
      <c r="G21" s="48">
        <v>211.81317655378695</v>
      </c>
      <c r="H21" s="48">
        <v>211.68744949626378</v>
      </c>
      <c r="I21" s="106">
        <f t="shared" si="0"/>
        <v>-5.9357524195968736E-4</v>
      </c>
    </row>
    <row r="22" spans="1:9" ht="15" x14ac:dyDescent="0.3">
      <c r="A22" s="74" t="s">
        <v>129</v>
      </c>
      <c r="B22" s="75"/>
      <c r="C22" s="75"/>
      <c r="D22" s="75"/>
      <c r="E22" s="75"/>
      <c r="F22" s="112">
        <v>174.949221577456</v>
      </c>
      <c r="G22" s="47">
        <v>171.26823999999999</v>
      </c>
      <c r="H22" s="47">
        <v>172.1305696</v>
      </c>
      <c r="I22" s="105">
        <f t="shared" si="0"/>
        <v>5.0349650349650332E-3</v>
      </c>
    </row>
    <row r="23" spans="1:9" ht="14.4" x14ac:dyDescent="0.3">
      <c r="A23" s="71" t="s">
        <v>15</v>
      </c>
      <c r="B23" s="72"/>
      <c r="C23" s="72"/>
      <c r="D23" s="72"/>
      <c r="E23" s="72"/>
      <c r="F23" s="113">
        <v>9.3409087200307166</v>
      </c>
      <c r="G23" s="48">
        <v>9.1443733333333341</v>
      </c>
      <c r="H23" s="48">
        <v>9.1904149333333347</v>
      </c>
      <c r="I23" s="106">
        <f>IFERROR(H23/G23-1,"-")</f>
        <v>5.0349650349650332E-3</v>
      </c>
    </row>
    <row r="24" spans="1:9" ht="15" x14ac:dyDescent="0.3">
      <c r="A24" s="68" t="s">
        <v>16</v>
      </c>
      <c r="B24" s="69"/>
      <c r="C24" s="69"/>
      <c r="D24" s="69"/>
      <c r="E24" s="69"/>
      <c r="F24" s="112">
        <v>60.951571808457317</v>
      </c>
      <c r="G24" s="48">
        <v>59.669133333333328</v>
      </c>
      <c r="H24" s="48">
        <v>59.969565333333342</v>
      </c>
      <c r="I24" s="106">
        <f t="shared" si="0"/>
        <v>5.0349650349652553E-3</v>
      </c>
    </row>
    <row r="25" spans="1:9" ht="14.4" x14ac:dyDescent="0.3">
      <c r="A25" s="71" t="s">
        <v>17</v>
      </c>
      <c r="B25" s="72"/>
      <c r="C25" s="72"/>
      <c r="D25" s="72"/>
      <c r="E25" s="72"/>
      <c r="F25" s="113">
        <v>36.078188725990188</v>
      </c>
      <c r="G25" s="48">
        <v>35.319093333333335</v>
      </c>
      <c r="H25" s="48">
        <v>35.496923733333333</v>
      </c>
      <c r="I25" s="106">
        <f t="shared" si="0"/>
        <v>5.0349650349650332E-3</v>
      </c>
    </row>
    <row r="26" spans="1:9" ht="14.4" x14ac:dyDescent="0.3">
      <c r="A26" s="68" t="s">
        <v>61</v>
      </c>
      <c r="B26" s="69"/>
      <c r="C26" s="69"/>
      <c r="D26" s="69"/>
      <c r="E26" s="69"/>
      <c r="F26" s="114"/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/>
      <c r="C27" s="72"/>
      <c r="D27" s="72"/>
      <c r="E27" s="72"/>
      <c r="F27" s="113">
        <v>68.578552322977799</v>
      </c>
      <c r="G27" s="48">
        <v>67.135639999999981</v>
      </c>
      <c r="H27" s="48">
        <v>67.473665600000004</v>
      </c>
      <c r="I27" s="106">
        <f t="shared" si="0"/>
        <v>5.0349650349654773E-3</v>
      </c>
    </row>
    <row r="28" spans="1:9" ht="14.4" x14ac:dyDescent="0.3">
      <c r="A28" s="68" t="s">
        <v>19</v>
      </c>
      <c r="B28" s="69"/>
      <c r="C28" s="69"/>
      <c r="D28" s="69"/>
      <c r="E28" s="69"/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/>
      <c r="C29" s="66"/>
      <c r="D29" s="66"/>
      <c r="E29" s="66"/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/>
      <c r="C30" s="69"/>
      <c r="D30" s="69"/>
      <c r="E30" s="69"/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/>
      <c r="C31" s="66"/>
      <c r="D31" s="66"/>
      <c r="E31" s="66"/>
      <c r="F31" s="95">
        <v>384.51177311485122</v>
      </c>
      <c r="G31" s="47">
        <v>384.15199378625869</v>
      </c>
      <c r="H31" s="47">
        <v>384.23682818712575</v>
      </c>
      <c r="I31" s="105">
        <f t="shared" si="0"/>
        <v>2.2083550844276267E-4</v>
      </c>
    </row>
    <row r="32" spans="1:9" ht="14.4" x14ac:dyDescent="0.3">
      <c r="A32" s="68" t="s">
        <v>21</v>
      </c>
      <c r="B32" s="69"/>
      <c r="C32" s="69"/>
      <c r="D32" s="69"/>
      <c r="E32" s="69"/>
      <c r="F32" s="96">
        <v>349.57427311485122</v>
      </c>
      <c r="G32" s="48">
        <v>349.21449378625869</v>
      </c>
      <c r="H32" s="48">
        <v>349.29932818712575</v>
      </c>
      <c r="I32" s="106">
        <f t="shared" si="0"/>
        <v>2.4292920934421147E-4</v>
      </c>
    </row>
    <row r="33" spans="1:20" ht="14.4" x14ac:dyDescent="0.3">
      <c r="A33" s="71" t="s">
        <v>22</v>
      </c>
      <c r="B33" s="72"/>
      <c r="C33" s="72"/>
      <c r="D33" s="72"/>
      <c r="E33" s="72"/>
      <c r="F33" s="97">
        <v>34.9375</v>
      </c>
      <c r="G33" s="48">
        <v>34.9375</v>
      </c>
      <c r="H33" s="48">
        <v>34.9375</v>
      </c>
      <c r="I33" s="106">
        <f t="shared" si="0"/>
        <v>0</v>
      </c>
    </row>
    <row r="34" spans="1:20" ht="15" x14ac:dyDescent="0.3">
      <c r="A34" s="74" t="s">
        <v>23</v>
      </c>
      <c r="B34" s="75"/>
      <c r="C34" s="75"/>
      <c r="D34" s="75"/>
      <c r="E34" s="75"/>
      <c r="F34" s="98">
        <v>389.86886111111113</v>
      </c>
      <c r="G34" s="47">
        <v>389.86886111111113</v>
      </c>
      <c r="H34" s="47">
        <v>389.86886111111113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/>
      <c r="C35" s="72"/>
      <c r="D35" s="72"/>
      <c r="E35" s="72"/>
      <c r="F35" s="97">
        <v>382.67986111111111</v>
      </c>
      <c r="G35" s="48">
        <v>382.67986111111111</v>
      </c>
      <c r="H35" s="48">
        <v>382.67986111111111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/>
      <c r="C36" s="69"/>
      <c r="D36" s="69"/>
      <c r="E36" s="69"/>
      <c r="F36" s="96">
        <v>7.1889999999999992</v>
      </c>
      <c r="G36" s="48">
        <v>7.1889999999999992</v>
      </c>
      <c r="H36" s="48">
        <v>7.1889999999999992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/>
      <c r="C37" s="66"/>
      <c r="D37" s="66"/>
      <c r="E37" s="66"/>
      <c r="F37" s="95">
        <v>292.47961256897753</v>
      </c>
      <c r="G37" s="47">
        <v>291.64106689970248</v>
      </c>
      <c r="H37" s="47">
        <v>291.83844618064956</v>
      </c>
      <c r="I37" s="105">
        <f t="shared" si="0"/>
        <v>6.7678836538798137E-4</v>
      </c>
    </row>
    <row r="38" spans="1:20" ht="14.4" x14ac:dyDescent="0.3">
      <c r="A38" s="68" t="s">
        <v>27</v>
      </c>
      <c r="B38" s="69"/>
      <c r="C38" s="69"/>
      <c r="D38" s="69"/>
      <c r="E38" s="69"/>
      <c r="F38" s="96">
        <v>91.143004914432041</v>
      </c>
      <c r="G38" s="48">
        <v>90.304459245156949</v>
      </c>
      <c r="H38" s="48">
        <v>90.501838526104081</v>
      </c>
      <c r="I38" s="106">
        <f t="shared" si="0"/>
        <v>2.1857091288404185E-3</v>
      </c>
    </row>
    <row r="39" spans="1:20" ht="14.4" x14ac:dyDescent="0.3">
      <c r="A39" s="71" t="s">
        <v>28</v>
      </c>
      <c r="B39" s="72"/>
      <c r="C39" s="72"/>
      <c r="D39" s="72"/>
      <c r="E39" s="72"/>
      <c r="F39" s="97">
        <v>90.578280000000007</v>
      </c>
      <c r="G39" s="48">
        <v>90.578280000000007</v>
      </c>
      <c r="H39" s="48">
        <v>90.578280000000007</v>
      </c>
      <c r="I39" s="106">
        <f t="shared" si="0"/>
        <v>0</v>
      </c>
    </row>
    <row r="40" spans="1:20" ht="14.4" x14ac:dyDescent="0.3">
      <c r="A40" s="68" t="s">
        <v>29</v>
      </c>
      <c r="B40" s="69"/>
      <c r="C40" s="69"/>
      <c r="D40" s="69"/>
      <c r="E40" s="69"/>
      <c r="F40" s="96">
        <v>90.578280000000007</v>
      </c>
      <c r="G40" s="48">
        <v>90.578280000000007</v>
      </c>
      <c r="H40" s="48">
        <v>90.578280000000007</v>
      </c>
      <c r="I40" s="106">
        <f t="shared" si="0"/>
        <v>0</v>
      </c>
    </row>
    <row r="41" spans="1:20" ht="14.4" x14ac:dyDescent="0.3">
      <c r="A41" s="71" t="s">
        <v>30</v>
      </c>
      <c r="B41" s="72"/>
      <c r="C41" s="72"/>
      <c r="D41" s="72"/>
      <c r="E41" s="72"/>
      <c r="F41" s="97">
        <v>1.5635454545454548</v>
      </c>
      <c r="G41" s="48">
        <v>1.5635454545454548</v>
      </c>
      <c r="H41" s="48">
        <v>1.5635454545454548</v>
      </c>
      <c r="I41" s="106">
        <f t="shared" si="0"/>
        <v>0</v>
      </c>
    </row>
    <row r="42" spans="1:20" ht="14.4" x14ac:dyDescent="0.3">
      <c r="A42" s="68" t="s">
        <v>31</v>
      </c>
      <c r="B42" s="69"/>
      <c r="C42" s="69"/>
      <c r="D42" s="69"/>
      <c r="E42" s="69"/>
      <c r="F42" s="96">
        <v>10.4165022</v>
      </c>
      <c r="G42" s="48">
        <v>10.4165022</v>
      </c>
      <c r="H42" s="48">
        <v>10.4165022</v>
      </c>
      <c r="I42" s="106">
        <f t="shared" si="0"/>
        <v>0</v>
      </c>
    </row>
    <row r="43" spans="1:20" ht="14.4" x14ac:dyDescent="0.3">
      <c r="A43" s="71" t="s">
        <v>32</v>
      </c>
      <c r="B43" s="72"/>
      <c r="C43" s="72"/>
      <c r="D43" s="72"/>
      <c r="E43" s="72"/>
      <c r="F43" s="97">
        <v>8.1999999999999993</v>
      </c>
      <c r="G43" s="48">
        <v>8.1999999999999993</v>
      </c>
      <c r="H43" s="48">
        <v>8.1999999999999993</v>
      </c>
      <c r="I43" s="106">
        <f t="shared" si="0"/>
        <v>0</v>
      </c>
    </row>
    <row r="44" spans="1:20" ht="15" x14ac:dyDescent="0.3">
      <c r="A44" s="74" t="s">
        <v>33</v>
      </c>
      <c r="B44" s="75"/>
      <c r="C44" s="75"/>
      <c r="D44" s="75"/>
      <c r="E44" s="75"/>
      <c r="F44" s="98">
        <v>513.29231347278073</v>
      </c>
      <c r="G44" s="47">
        <v>514.44096012004957</v>
      </c>
      <c r="H44" s="47">
        <v>518.50007022342561</v>
      </c>
      <c r="I44" s="105">
        <f t="shared" si="0"/>
        <v>7.8903322597578818E-3</v>
      </c>
    </row>
    <row r="45" spans="1:20" ht="14.4" x14ac:dyDescent="0.3">
      <c r="A45" s="71" t="s">
        <v>34</v>
      </c>
      <c r="B45" s="72"/>
      <c r="C45" s="72"/>
      <c r="D45" s="72"/>
      <c r="E45" s="72"/>
      <c r="F45" s="97">
        <v>469.63917918876405</v>
      </c>
      <c r="G45" s="48">
        <v>470.78782583603288</v>
      </c>
      <c r="H45" s="48">
        <v>474.84693593940892</v>
      </c>
      <c r="I45" s="106">
        <f t="shared" si="0"/>
        <v>8.6219521419608203E-3</v>
      </c>
    </row>
    <row r="46" spans="1:20" ht="14.4" x14ac:dyDescent="0.3">
      <c r="A46" s="68" t="s">
        <v>35</v>
      </c>
      <c r="B46" s="69"/>
      <c r="C46" s="69"/>
      <c r="D46" s="69"/>
      <c r="E46" s="69"/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/>
      <c r="C47" s="72"/>
      <c r="D47" s="72"/>
      <c r="E47" s="72"/>
      <c r="F47" s="97">
        <v>43.65313428401663</v>
      </c>
      <c r="G47" s="48">
        <v>43.65313428401663</v>
      </c>
      <c r="H47" s="48">
        <v>43.65313428401663</v>
      </c>
      <c r="I47" s="106">
        <f t="shared" si="0"/>
        <v>0</v>
      </c>
    </row>
    <row r="48" spans="1:20" ht="15" x14ac:dyDescent="0.3">
      <c r="A48" s="74" t="s">
        <v>37</v>
      </c>
      <c r="B48" s="75"/>
      <c r="C48" s="75"/>
      <c r="D48" s="75"/>
      <c r="E48" s="75"/>
      <c r="F48" s="98">
        <v>394.32</v>
      </c>
      <c r="G48" s="47">
        <v>394.32</v>
      </c>
      <c r="H48" s="47">
        <v>394.32</v>
      </c>
      <c r="I48" s="105">
        <f t="shared" si="0"/>
        <v>0</v>
      </c>
    </row>
    <row r="49" spans="1:9" ht="14.4" x14ac:dyDescent="0.3">
      <c r="A49" s="71" t="s">
        <v>62</v>
      </c>
      <c r="B49" s="72"/>
      <c r="C49" s="72"/>
      <c r="D49" s="72"/>
      <c r="E49" s="72"/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/>
      <c r="C50" s="69"/>
      <c r="D50" s="69"/>
      <c r="E50" s="69"/>
      <c r="F50" s="96">
        <v>186</v>
      </c>
      <c r="G50" s="48">
        <v>186</v>
      </c>
      <c r="H50" s="48">
        <v>186</v>
      </c>
      <c r="I50" s="106">
        <f t="shared" si="0"/>
        <v>0</v>
      </c>
    </row>
    <row r="51" spans="1:9" ht="14.4" x14ac:dyDescent="0.3">
      <c r="A51" s="71" t="s">
        <v>39</v>
      </c>
      <c r="B51" s="72"/>
      <c r="C51" s="72"/>
      <c r="D51" s="72"/>
      <c r="E51" s="72"/>
      <c r="F51" s="97">
        <v>208.32</v>
      </c>
      <c r="G51" s="48">
        <v>208.32</v>
      </c>
      <c r="H51" s="48">
        <v>208.32</v>
      </c>
      <c r="I51" s="106">
        <f t="shared" si="0"/>
        <v>0</v>
      </c>
    </row>
    <row r="52" spans="1:9" ht="15" x14ac:dyDescent="0.3">
      <c r="A52" s="74" t="s">
        <v>40</v>
      </c>
      <c r="B52" s="75"/>
      <c r="C52" s="75"/>
      <c r="D52" s="75"/>
      <c r="E52" s="75"/>
      <c r="F52" s="98">
        <v>169.45819713527101</v>
      </c>
      <c r="G52" s="47">
        <v>166.01932581380049</v>
      </c>
      <c r="H52" s="47">
        <v>166.97205778024025</v>
      </c>
      <c r="I52" s="105">
        <f t="shared" si="0"/>
        <v>5.7386810949244804E-3</v>
      </c>
    </row>
    <row r="53" spans="1:9" ht="14.4" x14ac:dyDescent="0.3">
      <c r="A53" s="71" t="s">
        <v>41</v>
      </c>
      <c r="B53" s="72"/>
      <c r="C53" s="72"/>
      <c r="D53" s="72"/>
      <c r="E53" s="72"/>
      <c r="F53" s="97">
        <v>69.291364429029429</v>
      </c>
      <c r="G53" s="48">
        <v>66.034404147133841</v>
      </c>
      <c r="H53" s="48">
        <v>66.936615913573576</v>
      </c>
      <c r="I53" s="106">
        <f t="shared" si="0"/>
        <v>1.3662753198006916E-2</v>
      </c>
    </row>
    <row r="54" spans="1:9" ht="14.4" x14ac:dyDescent="0.3">
      <c r="A54" s="68" t="s">
        <v>42</v>
      </c>
      <c r="B54" s="69"/>
      <c r="C54" s="69"/>
      <c r="D54" s="69"/>
      <c r="E54" s="69"/>
      <c r="F54" s="96">
        <v>11.166832706241571</v>
      </c>
      <c r="G54" s="48">
        <v>10.984921666666667</v>
      </c>
      <c r="H54" s="48">
        <v>11.035441866666666</v>
      </c>
      <c r="I54" s="106">
        <f t="shared" si="0"/>
        <v>4.5990496366761224E-3</v>
      </c>
    </row>
    <row r="55" spans="1:9" ht="14.4" x14ac:dyDescent="0.3">
      <c r="A55" s="71" t="s">
        <v>43</v>
      </c>
      <c r="B55" s="72"/>
      <c r="C55" s="72"/>
      <c r="D55" s="72"/>
      <c r="E55" s="72"/>
      <c r="F55" s="97">
        <v>89</v>
      </c>
      <c r="G55" s="48">
        <v>89</v>
      </c>
      <c r="H55" s="48">
        <v>89</v>
      </c>
      <c r="I55" s="106">
        <f t="shared" si="0"/>
        <v>0</v>
      </c>
    </row>
    <row r="56" spans="1:9" s="4" customFormat="1" ht="15" x14ac:dyDescent="0.3">
      <c r="A56" s="74" t="s">
        <v>44</v>
      </c>
      <c r="B56" s="75"/>
      <c r="C56" s="75"/>
      <c r="D56" s="75"/>
      <c r="E56" s="75"/>
      <c r="F56" s="98">
        <v>221.54003163613427</v>
      </c>
      <c r="G56" s="47">
        <v>200.4032686946039</v>
      </c>
      <c r="H56" s="47">
        <v>206.59300351425165</v>
      </c>
      <c r="I56" s="105">
        <f t="shared" si="0"/>
        <v>3.0886396514222314E-2</v>
      </c>
    </row>
    <row r="57" spans="1:9" ht="14.4" x14ac:dyDescent="0.3">
      <c r="A57" s="71" t="s">
        <v>45</v>
      </c>
      <c r="B57" s="72"/>
      <c r="C57" s="72"/>
      <c r="D57" s="72"/>
      <c r="E57" s="72"/>
      <c r="F57" s="97">
        <v>221.54003163613427</v>
      </c>
      <c r="G57" s="48">
        <v>200.4032686946039</v>
      </c>
      <c r="H57" s="48">
        <v>206.59300351425165</v>
      </c>
      <c r="I57" s="106">
        <f t="shared" si="0"/>
        <v>3.0886396514222314E-2</v>
      </c>
    </row>
    <row r="58" spans="1:9" ht="15" x14ac:dyDescent="0.3">
      <c r="A58" s="62" t="s">
        <v>46</v>
      </c>
      <c r="B58" s="63"/>
      <c r="C58" s="63"/>
      <c r="D58" s="63"/>
      <c r="E58" s="63"/>
      <c r="F58" s="99">
        <v>6140.0782107910827</v>
      </c>
      <c r="G58" s="46">
        <v>6128.9045026067215</v>
      </c>
      <c r="H58" s="46">
        <v>6175.9893767655385</v>
      </c>
      <c r="I58" s="104">
        <f t="shared" si="0"/>
        <v>7.6824290766468462E-3</v>
      </c>
    </row>
    <row r="59" spans="1:9" ht="15" x14ac:dyDescent="0.3">
      <c r="A59" s="65" t="s">
        <v>47</v>
      </c>
      <c r="B59" s="66"/>
      <c r="C59" s="66"/>
      <c r="D59" s="66"/>
      <c r="E59" s="66"/>
      <c r="F59" s="95">
        <v>793.02594590008084</v>
      </c>
      <c r="G59" s="47">
        <v>793.02594590008084</v>
      </c>
      <c r="H59" s="47">
        <v>793.02594590008084</v>
      </c>
      <c r="I59" s="105">
        <f t="shared" si="0"/>
        <v>0</v>
      </c>
    </row>
    <row r="60" spans="1:9" ht="14.4" x14ac:dyDescent="0.3">
      <c r="A60" s="68" t="s">
        <v>48</v>
      </c>
      <c r="B60" s="69"/>
      <c r="C60" s="69"/>
      <c r="D60" s="69"/>
      <c r="E60" s="69"/>
      <c r="F60" s="96">
        <v>618.67211889586144</v>
      </c>
      <c r="G60" s="48">
        <v>618.67211889586144</v>
      </c>
      <c r="H60" s="48">
        <v>618.67211889586144</v>
      </c>
      <c r="I60" s="106">
        <f t="shared" si="0"/>
        <v>0</v>
      </c>
    </row>
    <row r="61" spans="1:9" ht="14.4" x14ac:dyDescent="0.3">
      <c r="A61" s="71" t="s">
        <v>49</v>
      </c>
      <c r="B61" s="72"/>
      <c r="C61" s="72"/>
      <c r="D61" s="72"/>
      <c r="E61" s="72"/>
      <c r="F61" s="97">
        <v>128.06782700421942</v>
      </c>
      <c r="G61" s="48">
        <v>128.06782700421942</v>
      </c>
      <c r="H61" s="48">
        <v>128.06782700421942</v>
      </c>
      <c r="I61" s="106">
        <f t="shared" si="0"/>
        <v>0</v>
      </c>
    </row>
    <row r="62" spans="1:9" ht="14.4" x14ac:dyDescent="0.3">
      <c r="A62" s="68" t="s">
        <v>50</v>
      </c>
      <c r="B62" s="69"/>
      <c r="C62" s="69"/>
      <c r="D62" s="69"/>
      <c r="E62" s="69"/>
      <c r="F62" s="96">
        <v>3.28</v>
      </c>
      <c r="G62" s="48">
        <v>3.28</v>
      </c>
      <c r="H62" s="48">
        <v>3.28</v>
      </c>
      <c r="I62" s="106">
        <f t="shared" si="0"/>
        <v>0</v>
      </c>
    </row>
    <row r="63" spans="1:9" ht="14.4" x14ac:dyDescent="0.3">
      <c r="A63" s="71" t="s">
        <v>51</v>
      </c>
      <c r="B63" s="72"/>
      <c r="C63" s="72"/>
      <c r="D63" s="72"/>
      <c r="E63" s="72"/>
      <c r="F63" s="97">
        <v>14.25</v>
      </c>
      <c r="G63" s="48">
        <v>14.25</v>
      </c>
      <c r="H63" s="48">
        <v>14.25</v>
      </c>
      <c r="I63" s="106">
        <f t="shared" si="0"/>
        <v>0</v>
      </c>
    </row>
    <row r="64" spans="1:9" ht="14.4" x14ac:dyDescent="0.3">
      <c r="A64" s="68" t="s">
        <v>52</v>
      </c>
      <c r="B64" s="69"/>
      <c r="C64" s="69"/>
      <c r="D64" s="69"/>
      <c r="E64" s="69"/>
      <c r="F64" s="96">
        <v>28.755999999999997</v>
      </c>
      <c r="G64" s="48">
        <v>28.755999999999997</v>
      </c>
      <c r="H64" s="48">
        <v>28.755999999999997</v>
      </c>
      <c r="I64" s="106">
        <f t="shared" si="0"/>
        <v>0</v>
      </c>
    </row>
    <row r="65" spans="1:9" ht="15" x14ac:dyDescent="0.3">
      <c r="A65" s="65" t="s">
        <v>53</v>
      </c>
      <c r="B65" s="66"/>
      <c r="C65" s="66"/>
      <c r="D65" s="66"/>
      <c r="E65" s="66"/>
      <c r="F65" s="95">
        <v>62.670704948261566</v>
      </c>
      <c r="G65" s="47">
        <v>59.756273134373806</v>
      </c>
      <c r="H65" s="47">
        <v>60.924441308499894</v>
      </c>
      <c r="I65" s="105">
        <f t="shared" si="0"/>
        <v>1.954887935362426E-2</v>
      </c>
    </row>
    <row r="66" spans="1:9" ht="14.4" x14ac:dyDescent="0.3">
      <c r="A66" s="68" t="s">
        <v>54</v>
      </c>
      <c r="B66" s="69"/>
      <c r="C66" s="69"/>
      <c r="D66" s="69"/>
      <c r="E66" s="69"/>
      <c r="F66" s="96">
        <v>62.670704948261566</v>
      </c>
      <c r="G66" s="48">
        <v>59.756273134373806</v>
      </c>
      <c r="H66" s="48">
        <v>60.924441308499894</v>
      </c>
      <c r="I66" s="106">
        <f t="shared" si="0"/>
        <v>1.954887935362426E-2</v>
      </c>
    </row>
    <row r="67" spans="1:9" ht="15" x14ac:dyDescent="0.3">
      <c r="A67" s="78" t="s">
        <v>55</v>
      </c>
      <c r="B67" s="79"/>
      <c r="C67" s="79"/>
      <c r="D67" s="79"/>
      <c r="E67" s="79"/>
      <c r="F67" s="100">
        <v>6995.7748616394247</v>
      </c>
      <c r="G67" s="46">
        <v>6981.6867216411765</v>
      </c>
      <c r="H67" s="46">
        <v>7029.9397639741192</v>
      </c>
      <c r="I67" s="104">
        <f t="shared" si="0"/>
        <v>6.9113731762515673E-3</v>
      </c>
    </row>
    <row r="68" spans="1:9" ht="15" x14ac:dyDescent="0.3">
      <c r="A68" s="74" t="s">
        <v>63</v>
      </c>
      <c r="B68" s="75"/>
      <c r="C68" s="75"/>
      <c r="D68" s="75"/>
      <c r="E68" s="75"/>
      <c r="F68" s="98">
        <v>1430.9818473384821</v>
      </c>
      <c r="G68" s="47">
        <v>1381.8941519353773</v>
      </c>
      <c r="H68" s="47">
        <v>1397.1546564416678</v>
      </c>
      <c r="I68" s="105">
        <f t="shared" si="0"/>
        <v>1.1043179019838645E-2</v>
      </c>
    </row>
    <row r="69" spans="1:9" ht="14.4" x14ac:dyDescent="0.3">
      <c r="A69" s="71" t="s">
        <v>56</v>
      </c>
      <c r="B69" s="72"/>
      <c r="C69" s="72"/>
      <c r="D69" s="72"/>
      <c r="E69" s="72"/>
      <c r="F69" s="97">
        <v>516.9267404843132</v>
      </c>
      <c r="G69" s="48">
        <v>467.60762695407584</v>
      </c>
      <c r="H69" s="48">
        <v>482.05034153325374</v>
      </c>
      <c r="I69" s="106">
        <f t="shared" si="0"/>
        <v>3.088639651422187E-2</v>
      </c>
    </row>
    <row r="70" spans="1:9" ht="14.4" x14ac:dyDescent="0.3">
      <c r="A70" s="68" t="s">
        <v>57</v>
      </c>
      <c r="B70" s="69"/>
      <c r="C70" s="69"/>
      <c r="D70" s="69"/>
      <c r="E70" s="69"/>
      <c r="F70" s="96">
        <v>94.618322818728743</v>
      </c>
      <c r="G70" s="48">
        <v>94.849740945861328</v>
      </c>
      <c r="H70" s="48">
        <v>95.667530872973899</v>
      </c>
      <c r="I70" s="106">
        <f t="shared" si="0"/>
        <v>8.6219521419605982E-3</v>
      </c>
    </row>
    <row r="71" spans="1:9" ht="14.4" x14ac:dyDescent="0.3">
      <c r="A71" s="71" t="s">
        <v>58</v>
      </c>
      <c r="B71" s="72"/>
      <c r="C71" s="72"/>
      <c r="D71" s="72"/>
      <c r="E71" s="72"/>
      <c r="F71" s="97">
        <v>711.60178403544012</v>
      </c>
      <c r="G71" s="48">
        <v>711.60178403544012</v>
      </c>
      <c r="H71" s="48">
        <v>711.60178403544012</v>
      </c>
      <c r="I71" s="106">
        <f t="shared" si="0"/>
        <v>0</v>
      </c>
    </row>
    <row r="72" spans="1:9" ht="14.4" x14ac:dyDescent="0.3">
      <c r="A72" s="68" t="s">
        <v>59</v>
      </c>
      <c r="B72" s="69"/>
      <c r="C72" s="69"/>
      <c r="D72" s="69"/>
      <c r="E72" s="69"/>
      <c r="F72" s="96">
        <v>107.83499999999999</v>
      </c>
      <c r="G72" s="49">
        <v>107.83499999999999</v>
      </c>
      <c r="H72" s="49">
        <v>107.83499999999999</v>
      </c>
      <c r="I72" s="107">
        <f t="shared" si="0"/>
        <v>0</v>
      </c>
    </row>
    <row r="73" spans="1:9" ht="15" x14ac:dyDescent="0.3">
      <c r="A73" s="81" t="s">
        <v>60</v>
      </c>
      <c r="B73" s="82"/>
      <c r="C73" s="82"/>
      <c r="D73" s="82"/>
      <c r="E73" s="82"/>
      <c r="F73" s="100">
        <v>8426.7567089779077</v>
      </c>
      <c r="G73" s="46">
        <v>8363.5808735765531</v>
      </c>
      <c r="H73" s="46">
        <v>8427.0944204157877</v>
      </c>
      <c r="I73" s="104">
        <f t="shared" si="0"/>
        <v>7.5940614193013012E-3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/>
      <c r="C75" s="86"/>
      <c r="D75" s="86"/>
      <c r="E75" s="86"/>
      <c r="F75" s="86">
        <v>62</v>
      </c>
      <c r="G75" s="108">
        <v>62</v>
      </c>
      <c r="H75" s="108">
        <v>62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/>
      <c r="C76" s="88"/>
      <c r="D76" s="88"/>
      <c r="E76" s="88"/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6.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5" customHeight="1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4.1" hidden="1" customHeight="1" x14ac:dyDescent="0.3">
      <c r="A82" s="94"/>
      <c r="B82" s="94"/>
      <c r="C82" s="94"/>
      <c r="D82" s="93"/>
      <c r="E82" s="93"/>
      <c r="F82" s="93"/>
      <c r="G82" s="93"/>
      <c r="H82" s="93"/>
      <c r="I82" s="93"/>
    </row>
    <row r="83" spans="1:9" ht="12.75" hidden="1" customHeight="1" x14ac:dyDescent="0.3">
      <c r="A83" s="93"/>
      <c r="B83" s="93"/>
      <c r="C83" s="93"/>
      <c r="D83" s="93"/>
      <c r="E83" s="93"/>
      <c r="F83" s="93"/>
      <c r="G83" s="93"/>
      <c r="H83" s="93"/>
      <c r="I83" s="93"/>
    </row>
    <row r="84" spans="1:9" ht="14.7" hidden="1" customHeight="1" x14ac:dyDescent="0.3">
      <c r="A84" s="93"/>
      <c r="B84" s="93"/>
      <c r="C84" s="93"/>
      <c r="D84" s="93"/>
      <c r="E84" s="93"/>
      <c r="F84" s="93"/>
      <c r="G84" s="93"/>
      <c r="H84" s="93"/>
      <c r="I84" s="93"/>
    </row>
  </sheetData>
  <mergeCells count="4">
    <mergeCell ref="A2:I2"/>
    <mergeCell ref="A3:I3"/>
    <mergeCell ref="A4:I4"/>
    <mergeCell ref="A80:I80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9CCE-5861-4BA3-850B-DBFD038FAD15}">
  <dimension ref="A1:T84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122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127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/>
      <c r="C9" s="64">
        <v>4418.1734913166993</v>
      </c>
      <c r="D9" s="63">
        <v>3485.5932324909986</v>
      </c>
      <c r="E9" s="63">
        <v>3167.664151010144</v>
      </c>
      <c r="F9" s="99">
        <v>4462.1924627954768</v>
      </c>
      <c r="G9" s="46">
        <v>4490.9806139655102</v>
      </c>
      <c r="H9" s="46">
        <v>4502.0681851762638</v>
      </c>
      <c r="I9" s="104">
        <f>IFERROR(H9/G9-1,"-")</f>
        <v>2.4688530554495269E-3</v>
      </c>
    </row>
    <row r="10" spans="1:9" ht="15" x14ac:dyDescent="0.3">
      <c r="A10" s="65" t="s">
        <v>3</v>
      </c>
      <c r="B10" s="66"/>
      <c r="C10" s="66">
        <v>550.06566201941484</v>
      </c>
      <c r="D10" s="66">
        <v>381.91365793983573</v>
      </c>
      <c r="E10" s="66">
        <v>422.08840572477266</v>
      </c>
      <c r="F10" s="95">
        <v>380.82647691544673</v>
      </c>
      <c r="G10" s="47">
        <v>350.60573153947934</v>
      </c>
      <c r="H10" s="47">
        <v>347.56562601511291</v>
      </c>
      <c r="I10" s="105">
        <f t="shared" ref="I10:I73" si="0">IFERROR(H10/G10-1,"-")</f>
        <v>-8.6710092017537876E-3</v>
      </c>
    </row>
    <row r="11" spans="1:9" ht="14.4" x14ac:dyDescent="0.3">
      <c r="A11" s="68" t="s">
        <v>4</v>
      </c>
      <c r="B11" s="69"/>
      <c r="C11" s="69">
        <v>494.44073082771428</v>
      </c>
      <c r="D11" s="69">
        <v>313.69397226475854</v>
      </c>
      <c r="E11" s="69">
        <v>363.87562539855611</v>
      </c>
      <c r="F11" s="96">
        <v>298.16021885639537</v>
      </c>
      <c r="G11" s="48">
        <v>248.08036123652164</v>
      </c>
      <c r="H11" s="48">
        <v>249.22893307778162</v>
      </c>
      <c r="I11" s="106">
        <f t="shared" si="0"/>
        <v>4.6298378297060516E-3</v>
      </c>
    </row>
    <row r="12" spans="1:9" ht="14.4" x14ac:dyDescent="0.3">
      <c r="A12" s="71" t="s">
        <v>5</v>
      </c>
      <c r="B12" s="72"/>
      <c r="C12" s="72">
        <v>55.62493119170059</v>
      </c>
      <c r="D12" s="72">
        <v>68.219685675077216</v>
      </c>
      <c r="E12" s="72">
        <v>58.212780326216524</v>
      </c>
      <c r="F12" s="97">
        <v>82.666258059051373</v>
      </c>
      <c r="G12" s="48">
        <v>102.52537030295768</v>
      </c>
      <c r="H12" s="48">
        <v>98.336692937331264</v>
      </c>
      <c r="I12" s="106">
        <f t="shared" si="0"/>
        <v>-4.0855032790899193E-2</v>
      </c>
    </row>
    <row r="13" spans="1:9" ht="15" x14ac:dyDescent="0.3">
      <c r="A13" s="74" t="s">
        <v>6</v>
      </c>
      <c r="B13" s="75"/>
      <c r="C13" s="75">
        <v>2463.6696466983026</v>
      </c>
      <c r="D13" s="75">
        <v>1691.6953959858552</v>
      </c>
      <c r="E13" s="75">
        <v>1491.8632651549342</v>
      </c>
      <c r="F13" s="98">
        <v>2036.1512514162796</v>
      </c>
      <c r="G13" s="47">
        <v>2130.4546919089003</v>
      </c>
      <c r="H13" s="47">
        <v>2140.2712931670098</v>
      </c>
      <c r="I13" s="105">
        <f t="shared" si="0"/>
        <v>4.6077493670206859E-3</v>
      </c>
    </row>
    <row r="14" spans="1:9" ht="14.4" x14ac:dyDescent="0.3">
      <c r="A14" s="71" t="s">
        <v>7</v>
      </c>
      <c r="B14" s="72"/>
      <c r="C14" s="72">
        <v>177.3126460855477</v>
      </c>
      <c r="D14" s="72">
        <v>218.72396697867595</v>
      </c>
      <c r="E14" s="72">
        <v>225.15547446840804</v>
      </c>
      <c r="F14" s="97">
        <v>154.08952910161801</v>
      </c>
      <c r="G14" s="48">
        <v>166.71997864965388</v>
      </c>
      <c r="H14" s="48">
        <v>166.25730844465477</v>
      </c>
      <c r="I14" s="106">
        <f t="shared" si="0"/>
        <v>-2.7751335427613766E-3</v>
      </c>
    </row>
    <row r="15" spans="1:9" ht="14.4" x14ac:dyDescent="0.3">
      <c r="A15" s="68" t="s">
        <v>8</v>
      </c>
      <c r="B15" s="69"/>
      <c r="C15" s="69">
        <v>2206.2599705434727</v>
      </c>
      <c r="D15" s="69">
        <v>1374.8597310617638</v>
      </c>
      <c r="E15" s="69">
        <v>1152.9244928012174</v>
      </c>
      <c r="F15" s="96">
        <v>1597.3774716426856</v>
      </c>
      <c r="G15" s="48">
        <v>1673.8144830951558</v>
      </c>
      <c r="H15" s="48">
        <v>1683.5734386047463</v>
      </c>
      <c r="I15" s="106">
        <f t="shared" si="0"/>
        <v>5.8303686628069507E-3</v>
      </c>
    </row>
    <row r="16" spans="1:9" ht="14.4" x14ac:dyDescent="0.3">
      <c r="A16" s="71" t="s">
        <v>9</v>
      </c>
      <c r="B16" s="72"/>
      <c r="C16" s="72">
        <v>80.097030069281857</v>
      </c>
      <c r="D16" s="72">
        <v>98.111697945415457</v>
      </c>
      <c r="E16" s="72">
        <v>113.78329788530868</v>
      </c>
      <c r="F16" s="97">
        <v>284.68425067197597</v>
      </c>
      <c r="G16" s="48">
        <v>289.92023016409041</v>
      </c>
      <c r="H16" s="48">
        <v>290.44054611760879</v>
      </c>
      <c r="I16" s="106">
        <f t="shared" si="0"/>
        <v>1.7946866047391374E-3</v>
      </c>
    </row>
    <row r="17" spans="1:9" ht="15" x14ac:dyDescent="0.3">
      <c r="A17" s="74" t="s">
        <v>10</v>
      </c>
      <c r="B17" s="75"/>
      <c r="C17" s="75">
        <v>1103.3668199168594</v>
      </c>
      <c r="D17" s="75">
        <v>1050.1971819883911</v>
      </c>
      <c r="E17" s="75">
        <v>895.60538971559708</v>
      </c>
      <c r="F17" s="98">
        <v>1536.7800073633921</v>
      </c>
      <c r="G17" s="47">
        <v>1513.9934260825282</v>
      </c>
      <c r="H17" s="47">
        <v>1518.6485934080049</v>
      </c>
      <c r="I17" s="105">
        <f t="shared" si="0"/>
        <v>3.0747605935925737E-3</v>
      </c>
    </row>
    <row r="18" spans="1:9" ht="14.4" x14ac:dyDescent="0.3">
      <c r="A18" s="71" t="s">
        <v>11</v>
      </c>
      <c r="B18" s="72"/>
      <c r="C18" s="72">
        <v>450.22351144796454</v>
      </c>
      <c r="D18" s="72">
        <v>428.70873466350662</v>
      </c>
      <c r="E18" s="72">
        <v>376.34121301223092</v>
      </c>
      <c r="F18" s="97">
        <v>578.57003937885963</v>
      </c>
      <c r="G18" s="48">
        <v>555.06673285527063</v>
      </c>
      <c r="H18" s="48">
        <v>556.40737065683834</v>
      </c>
      <c r="I18" s="106">
        <f t="shared" si="0"/>
        <v>2.415273195479406E-3</v>
      </c>
    </row>
    <row r="19" spans="1:9" ht="14.4" x14ac:dyDescent="0.3">
      <c r="A19" s="68" t="s">
        <v>12</v>
      </c>
      <c r="B19" s="69"/>
      <c r="C19" s="69">
        <v>205.32668495919026</v>
      </c>
      <c r="D19" s="69">
        <v>179.49639490080793</v>
      </c>
      <c r="E19" s="69">
        <v>150.41309505463749</v>
      </c>
      <c r="F19" s="96">
        <v>185.14886152165329</v>
      </c>
      <c r="G19" s="48">
        <v>218.11451321100037</v>
      </c>
      <c r="H19" s="48">
        <v>219.26887579360886</v>
      </c>
      <c r="I19" s="106">
        <f t="shared" si="0"/>
        <v>5.2924611279385747E-3</v>
      </c>
    </row>
    <row r="20" spans="1:9" ht="14.4" x14ac:dyDescent="0.3">
      <c r="A20" s="71" t="s">
        <v>13</v>
      </c>
      <c r="B20" s="72"/>
      <c r="C20" s="72">
        <v>286.76540711323429</v>
      </c>
      <c r="D20" s="72">
        <v>282.86787124153511</v>
      </c>
      <c r="E20" s="72">
        <v>216.32208366745206</v>
      </c>
      <c r="F20" s="97">
        <v>508.27809955332157</v>
      </c>
      <c r="G20" s="48">
        <v>482.20495548363044</v>
      </c>
      <c r="H20" s="48">
        <v>484.75637619560547</v>
      </c>
      <c r="I20" s="106">
        <f t="shared" si="0"/>
        <v>5.291154068327808E-3</v>
      </c>
    </row>
    <row r="21" spans="1:9" ht="14.4" x14ac:dyDescent="0.3">
      <c r="A21" s="68" t="s">
        <v>14</v>
      </c>
      <c r="B21" s="69"/>
      <c r="C21" s="69">
        <v>161.05121639647038</v>
      </c>
      <c r="D21" s="69">
        <v>159.12418118254132</v>
      </c>
      <c r="E21" s="69">
        <v>152.52899798127663</v>
      </c>
      <c r="F21" s="96">
        <v>264.78300690955757</v>
      </c>
      <c r="G21" s="48">
        <v>258.60722453262673</v>
      </c>
      <c r="H21" s="48">
        <v>258.21597076195206</v>
      </c>
      <c r="I21" s="106">
        <f t="shared" si="0"/>
        <v>-1.512926684015814E-3</v>
      </c>
    </row>
    <row r="22" spans="1:9" ht="15" x14ac:dyDescent="0.3">
      <c r="A22" s="74" t="s">
        <v>129</v>
      </c>
      <c r="B22" s="75"/>
      <c r="C22" s="75">
        <v>104.79518331333514</v>
      </c>
      <c r="D22" s="75">
        <v>176.40997296834854</v>
      </c>
      <c r="E22" s="75">
        <v>178.93027474640922</v>
      </c>
      <c r="F22" s="112">
        <v>212.47632353654762</v>
      </c>
      <c r="G22" s="47">
        <v>201.89953749186469</v>
      </c>
      <c r="H22" s="47">
        <v>201.90012100149178</v>
      </c>
      <c r="I22" s="105">
        <f t="shared" si="0"/>
        <v>2.8900988795488303E-6</v>
      </c>
    </row>
    <row r="23" spans="1:9" ht="14.4" x14ac:dyDescent="0.3">
      <c r="A23" s="71" t="s">
        <v>15</v>
      </c>
      <c r="B23" s="72"/>
      <c r="C23" s="72">
        <v>10.235813442495418</v>
      </c>
      <c r="D23" s="72">
        <v>23.901877170446156</v>
      </c>
      <c r="E23" s="72">
        <v>24.243354143193447</v>
      </c>
      <c r="F23" s="113">
        <v>13.664642873393605</v>
      </c>
      <c r="G23" s="48">
        <v>12.984435301823755</v>
      </c>
      <c r="H23" s="48">
        <v>12.98447282812567</v>
      </c>
      <c r="I23" s="106">
        <f>IFERROR(H23/G23-1,"-")</f>
        <v>2.8900988793267857E-6</v>
      </c>
    </row>
    <row r="24" spans="1:9" ht="15" x14ac:dyDescent="0.3">
      <c r="A24" s="68" t="s">
        <v>16</v>
      </c>
      <c r="B24" s="69"/>
      <c r="C24" s="69">
        <v>48.680114588133641</v>
      </c>
      <c r="D24" s="69">
        <v>51.303787097226234</v>
      </c>
      <c r="E24" s="69">
        <v>52.03674467137418</v>
      </c>
      <c r="F24" s="112">
        <v>90.284247556350621</v>
      </c>
      <c r="G24" s="48">
        <v>85.790018958478385</v>
      </c>
      <c r="H24" s="48">
        <v>85.790266900116052</v>
      </c>
      <c r="I24" s="106">
        <f t="shared" si="0"/>
        <v>2.8900988795488303E-6</v>
      </c>
    </row>
    <row r="25" spans="1:9" ht="14.4" x14ac:dyDescent="0.3">
      <c r="A25" s="71" t="s">
        <v>17</v>
      </c>
      <c r="B25" s="72"/>
      <c r="C25" s="72">
        <v>37.701606304211467</v>
      </c>
      <c r="D25" s="72">
        <v>37.76408374839837</v>
      </c>
      <c r="E25" s="72">
        <v>38.303604761958077</v>
      </c>
      <c r="F25" s="113">
        <v>30.665588162628779</v>
      </c>
      <c r="G25" s="48">
        <v>29.139096365651238</v>
      </c>
      <c r="H25" s="48">
        <v>29.139180580520993</v>
      </c>
      <c r="I25" s="106">
        <f t="shared" si="0"/>
        <v>2.8900988795488303E-6</v>
      </c>
    </row>
    <row r="26" spans="1:9" ht="14.4" x14ac:dyDescent="0.3">
      <c r="A26" s="68" t="s">
        <v>61</v>
      </c>
      <c r="B26" s="69"/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/>
      <c r="C27" s="72">
        <v>8.1776489784946236</v>
      </c>
      <c r="D27" s="72">
        <v>63.440224952277788</v>
      </c>
      <c r="E27" s="72">
        <v>64.346571169883546</v>
      </c>
      <c r="F27" s="113">
        <v>77.861844944174621</v>
      </c>
      <c r="G27" s="48">
        <v>73.985986865911329</v>
      </c>
      <c r="H27" s="48">
        <v>73.986200692729057</v>
      </c>
      <c r="I27" s="106">
        <f t="shared" si="0"/>
        <v>2.8900988793267857E-6</v>
      </c>
    </row>
    <row r="28" spans="1:9" ht="14.4" x14ac:dyDescent="0.3">
      <c r="A28" s="68" t="s">
        <v>19</v>
      </c>
      <c r="B28" s="69"/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/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/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/>
      <c r="C31" s="66">
        <v>196.27617936878821</v>
      </c>
      <c r="D31" s="66">
        <v>185.37702360856792</v>
      </c>
      <c r="E31" s="66">
        <v>179.17681566843072</v>
      </c>
      <c r="F31" s="95">
        <v>295.95840356381063</v>
      </c>
      <c r="G31" s="47">
        <v>294.02722694273785</v>
      </c>
      <c r="H31" s="47">
        <v>293.68255158464444</v>
      </c>
      <c r="I31" s="105">
        <f t="shared" si="0"/>
        <v>-1.1722566024831016E-3</v>
      </c>
    </row>
    <row r="32" spans="1:9" ht="14.4" x14ac:dyDescent="0.3">
      <c r="A32" s="68" t="s">
        <v>21</v>
      </c>
      <c r="B32" s="69"/>
      <c r="C32" s="69">
        <v>192.19940748764589</v>
      </c>
      <c r="D32" s="69">
        <v>181.3002517274256</v>
      </c>
      <c r="E32" s="69">
        <v>175.1000437872884</v>
      </c>
      <c r="F32" s="96">
        <v>258.33340356381063</v>
      </c>
      <c r="G32" s="48">
        <v>256.40222694273785</v>
      </c>
      <c r="H32" s="48">
        <v>256.05755158464444</v>
      </c>
      <c r="I32" s="106">
        <f t="shared" si="0"/>
        <v>-1.3442759924638947E-3</v>
      </c>
    </row>
    <row r="33" spans="1:20" ht="14.4" x14ac:dyDescent="0.3">
      <c r="A33" s="71" t="s">
        <v>22</v>
      </c>
      <c r="B33" s="72"/>
      <c r="C33" s="72">
        <v>4.0767718811423279</v>
      </c>
      <c r="D33" s="72">
        <v>4.0767718811423279</v>
      </c>
      <c r="E33" s="72">
        <v>4.0767718811423279</v>
      </c>
      <c r="F33" s="97">
        <v>37.625</v>
      </c>
      <c r="G33" s="48">
        <v>37.625</v>
      </c>
      <c r="H33" s="48">
        <v>37.625</v>
      </c>
      <c r="I33" s="106">
        <f t="shared" si="0"/>
        <v>0</v>
      </c>
    </row>
    <row r="34" spans="1:20" ht="15" x14ac:dyDescent="0.3">
      <c r="A34" s="74" t="s">
        <v>23</v>
      </c>
      <c r="B34" s="75"/>
      <c r="C34" s="75">
        <v>147.78334105098858</v>
      </c>
      <c r="D34" s="75">
        <v>145.30456774386246</v>
      </c>
      <c r="E34" s="75">
        <v>145.30456774386246</v>
      </c>
      <c r="F34" s="98">
        <v>254.0415138888888</v>
      </c>
      <c r="G34" s="47">
        <v>254.04151388888889</v>
      </c>
      <c r="H34" s="47">
        <v>254.04151388888886</v>
      </c>
      <c r="I34" s="105">
        <f t="shared" si="0"/>
        <v>-1.1102230246251565E-16</v>
      </c>
      <c r="T34" s="1"/>
    </row>
    <row r="35" spans="1:20" ht="14.4" x14ac:dyDescent="0.3">
      <c r="A35" s="71" t="s">
        <v>24</v>
      </c>
      <c r="B35" s="72"/>
      <c r="C35" s="72">
        <v>145.01018808532783</v>
      </c>
      <c r="D35" s="72">
        <v>142.53141477820171</v>
      </c>
      <c r="E35" s="72">
        <v>142.53141477820171</v>
      </c>
      <c r="F35" s="97">
        <v>248.68388888888879</v>
      </c>
      <c r="G35" s="48">
        <v>248.68388888888887</v>
      </c>
      <c r="H35" s="48">
        <v>248.68388888888884</v>
      </c>
      <c r="I35" s="106">
        <f t="shared" si="0"/>
        <v>-1.1102230246251565E-16</v>
      </c>
      <c r="T35" s="2"/>
    </row>
    <row r="36" spans="1:20" ht="14.4" x14ac:dyDescent="0.3">
      <c r="A36" s="68" t="s">
        <v>25</v>
      </c>
      <c r="B36" s="69"/>
      <c r="C36" s="69">
        <v>2.7731529656607701</v>
      </c>
      <c r="D36" s="69">
        <v>2.7731529656607701</v>
      </c>
      <c r="E36" s="69">
        <v>2.7731529656607701</v>
      </c>
      <c r="F36" s="96">
        <v>5.3576249999999996</v>
      </c>
      <c r="G36" s="48">
        <v>5.3576249999999996</v>
      </c>
      <c r="H36" s="48">
        <v>5.3576249999999996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/>
      <c r="C37" s="66">
        <v>227.15761532290074</v>
      </c>
      <c r="D37" s="66">
        <v>237.00905609420039</v>
      </c>
      <c r="E37" s="66">
        <v>256.09766051923953</v>
      </c>
      <c r="F37" s="95">
        <v>288.31428008679796</v>
      </c>
      <c r="G37" s="47">
        <v>288.49682889882826</v>
      </c>
      <c r="H37" s="47">
        <v>288.43448435265088</v>
      </c>
      <c r="I37" s="105">
        <f t="shared" si="0"/>
        <v>-2.1610132220628575E-4</v>
      </c>
    </row>
    <row r="38" spans="1:20" ht="14.4" x14ac:dyDescent="0.3">
      <c r="A38" s="68" t="s">
        <v>27</v>
      </c>
      <c r="B38" s="69"/>
      <c r="C38" s="69">
        <v>35.988026091355053</v>
      </c>
      <c r="D38" s="69">
        <v>33.778527862654734</v>
      </c>
      <c r="E38" s="69">
        <v>44.490147687693764</v>
      </c>
      <c r="F38" s="96">
        <v>59.764637807386201</v>
      </c>
      <c r="G38" s="48">
        <v>59.325646119416497</v>
      </c>
      <c r="H38" s="48">
        <v>59.247821423239103</v>
      </c>
      <c r="I38" s="106">
        <f t="shared" si="0"/>
        <v>-1.3118221421599685E-3</v>
      </c>
    </row>
    <row r="39" spans="1:20" ht="14.4" x14ac:dyDescent="0.3">
      <c r="A39" s="71" t="s">
        <v>28</v>
      </c>
      <c r="B39" s="72"/>
      <c r="C39" s="72">
        <v>85.452880000000007</v>
      </c>
      <c r="D39" s="72">
        <v>91.203980000000001</v>
      </c>
      <c r="E39" s="72">
        <v>95.155800000000042</v>
      </c>
      <c r="F39" s="97">
        <v>102.12090000000001</v>
      </c>
      <c r="G39" s="48">
        <v>102.26580000000001</v>
      </c>
      <c r="H39" s="48">
        <v>102.26580000000001</v>
      </c>
      <c r="I39" s="106">
        <f t="shared" si="0"/>
        <v>0</v>
      </c>
    </row>
    <row r="40" spans="1:20" ht="14.4" x14ac:dyDescent="0.3">
      <c r="A40" s="68" t="s">
        <v>29</v>
      </c>
      <c r="B40" s="69"/>
      <c r="C40" s="69">
        <v>85.452880000000007</v>
      </c>
      <c r="D40" s="69">
        <v>91.203980000000001</v>
      </c>
      <c r="E40" s="69">
        <v>95.155800000000042</v>
      </c>
      <c r="F40" s="96">
        <v>102.12090000000001</v>
      </c>
      <c r="G40" s="48">
        <v>102.26580000000001</v>
      </c>
      <c r="H40" s="48">
        <v>102.26580000000001</v>
      </c>
      <c r="I40" s="106">
        <f t="shared" si="0"/>
        <v>0</v>
      </c>
    </row>
    <row r="41" spans="1:20" ht="14.4" x14ac:dyDescent="0.3">
      <c r="A41" s="71" t="s">
        <v>30</v>
      </c>
      <c r="B41" s="72"/>
      <c r="C41" s="72">
        <v>0.70395421436004135</v>
      </c>
      <c r="D41" s="72">
        <v>0.70395421436004135</v>
      </c>
      <c r="E41" s="72">
        <v>0.70395421436004135</v>
      </c>
      <c r="F41" s="97">
        <v>0.66582352941176481</v>
      </c>
      <c r="G41" s="48">
        <v>0.66582352941176481</v>
      </c>
      <c r="H41" s="48">
        <v>0.66582352941176481</v>
      </c>
      <c r="I41" s="106">
        <f t="shared" si="0"/>
        <v>0</v>
      </c>
    </row>
    <row r="42" spans="1:20" ht="14.4" x14ac:dyDescent="0.3">
      <c r="A42" s="68" t="s">
        <v>31</v>
      </c>
      <c r="B42" s="69"/>
      <c r="C42" s="69">
        <v>10.002522899999997</v>
      </c>
      <c r="D42" s="69">
        <v>10.5612619</v>
      </c>
      <c r="E42" s="69">
        <v>11.034606499999997</v>
      </c>
      <c r="F42" s="96">
        <v>11.917018750000002</v>
      </c>
      <c r="G42" s="48">
        <v>12.248759250000001</v>
      </c>
      <c r="H42" s="48">
        <v>12.264239400000001</v>
      </c>
      <c r="I42" s="106">
        <f t="shared" si="0"/>
        <v>1.2638137205611688E-3</v>
      </c>
    </row>
    <row r="43" spans="1:20" ht="14.4" x14ac:dyDescent="0.3">
      <c r="A43" s="71" t="s">
        <v>32</v>
      </c>
      <c r="B43" s="72"/>
      <c r="C43" s="72">
        <v>9.5573521171856264</v>
      </c>
      <c r="D43" s="72">
        <v>9.5573521171856264</v>
      </c>
      <c r="E43" s="72">
        <v>9.5573521171856264</v>
      </c>
      <c r="F43" s="97">
        <v>11.724999999999996</v>
      </c>
      <c r="G43" s="48">
        <v>11.725</v>
      </c>
      <c r="H43" s="48">
        <v>11.725</v>
      </c>
      <c r="I43" s="106">
        <f t="shared" si="0"/>
        <v>0</v>
      </c>
    </row>
    <row r="44" spans="1:20" ht="15" x14ac:dyDescent="0.3">
      <c r="A44" s="74" t="s">
        <v>33</v>
      </c>
      <c r="B44" s="75"/>
      <c r="C44" s="75">
        <v>220.00130013195292</v>
      </c>
      <c r="D44" s="75">
        <v>182.20253764889404</v>
      </c>
      <c r="E44" s="75">
        <v>168.24009699236674</v>
      </c>
      <c r="F44" s="98">
        <v>460.93782670336424</v>
      </c>
      <c r="G44" s="47">
        <v>465.29971446069402</v>
      </c>
      <c r="H44" s="47">
        <v>466.77309775190326</v>
      </c>
      <c r="I44" s="105">
        <f t="shared" si="0"/>
        <v>3.16652524258898E-3</v>
      </c>
    </row>
    <row r="45" spans="1:20" ht="14.4" x14ac:dyDescent="0.3">
      <c r="A45" s="71" t="s">
        <v>34</v>
      </c>
      <c r="B45" s="72"/>
      <c r="C45" s="72">
        <v>191.58611425574119</v>
      </c>
      <c r="D45" s="72">
        <v>149.61652439361305</v>
      </c>
      <c r="E45" s="72">
        <v>136.34757141246868</v>
      </c>
      <c r="F45" s="97">
        <v>436.00032670336424</v>
      </c>
      <c r="G45" s="48">
        <v>440.36221446069402</v>
      </c>
      <c r="H45" s="48">
        <v>441.83559775190326</v>
      </c>
      <c r="I45" s="106">
        <f t="shared" si="0"/>
        <v>3.3458440411688883E-3</v>
      </c>
    </row>
    <row r="46" spans="1:20" ht="14.4" x14ac:dyDescent="0.3">
      <c r="A46" s="68" t="s">
        <v>35</v>
      </c>
      <c r="B46" s="69"/>
      <c r="C46" s="69">
        <v>10.013043922882403</v>
      </c>
      <c r="D46" s="69">
        <v>7.8195480719572013</v>
      </c>
      <c r="E46" s="69">
        <v>7.1260603965742888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/>
      <c r="C47" s="72">
        <v>18.402141953329302</v>
      </c>
      <c r="D47" s="72">
        <v>24.766465183323785</v>
      </c>
      <c r="E47" s="72">
        <v>24.766465183323785</v>
      </c>
      <c r="F47" s="97">
        <v>24.9375</v>
      </c>
      <c r="G47" s="48">
        <v>24.9375</v>
      </c>
      <c r="H47" s="48">
        <v>24.9375</v>
      </c>
      <c r="I47" s="106">
        <f t="shared" si="0"/>
        <v>0</v>
      </c>
    </row>
    <row r="48" spans="1:20" ht="15" x14ac:dyDescent="0.3">
      <c r="A48" s="74" t="s">
        <v>37</v>
      </c>
      <c r="B48" s="75"/>
      <c r="C48" s="75">
        <v>334.90000000000009</v>
      </c>
      <c r="D48" s="75">
        <v>353.60000000000008</v>
      </c>
      <c r="E48" s="75">
        <v>353.60000000000008</v>
      </c>
      <c r="F48" s="98">
        <v>420.08399999999989</v>
      </c>
      <c r="G48" s="47">
        <v>420.08400000000006</v>
      </c>
      <c r="H48" s="47">
        <v>420.084</v>
      </c>
      <c r="I48" s="105">
        <f t="shared" si="0"/>
        <v>-1.1102230246251565E-16</v>
      </c>
    </row>
    <row r="49" spans="1:9" ht="14.4" x14ac:dyDescent="0.3">
      <c r="A49" s="71" t="s">
        <v>62</v>
      </c>
      <c r="B49" s="72"/>
      <c r="C49" s="72">
        <v>183.60000000000011</v>
      </c>
      <c r="D49" s="72">
        <v>183.60000000000011</v>
      </c>
      <c r="E49" s="72">
        <v>183.60000000000011</v>
      </c>
      <c r="F49" s="97">
        <v>210.04199999999994</v>
      </c>
      <c r="G49" s="48">
        <v>210.04200000000003</v>
      </c>
      <c r="H49" s="48">
        <v>210.042</v>
      </c>
      <c r="I49" s="106">
        <f t="shared" si="0"/>
        <v>-1.1102230246251565E-16</v>
      </c>
    </row>
    <row r="50" spans="1:9" ht="14.4" x14ac:dyDescent="0.3">
      <c r="A50" s="68" t="s">
        <v>38</v>
      </c>
      <c r="B50" s="69"/>
      <c r="C50" s="69">
        <v>15.300000000000004</v>
      </c>
      <c r="D50" s="69">
        <v>20.400000000000002</v>
      </c>
      <c r="E50" s="69">
        <v>20.400000000000002</v>
      </c>
      <c r="F50" s="96">
        <v>0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/>
      <c r="C51" s="72">
        <v>136</v>
      </c>
      <c r="D51" s="72">
        <v>149.59999999999997</v>
      </c>
      <c r="E51" s="72">
        <v>149.59999999999997</v>
      </c>
      <c r="F51" s="97">
        <v>210.04199999999994</v>
      </c>
      <c r="G51" s="48">
        <v>210.04200000000003</v>
      </c>
      <c r="H51" s="48">
        <v>210.042</v>
      </c>
      <c r="I51" s="106">
        <f t="shared" si="0"/>
        <v>-1.1102230246251565E-16</v>
      </c>
    </row>
    <row r="52" spans="1:9" ht="15" x14ac:dyDescent="0.3">
      <c r="A52" s="74" t="s">
        <v>40</v>
      </c>
      <c r="B52" s="75"/>
      <c r="C52" s="75">
        <v>216.51866846520875</v>
      </c>
      <c r="D52" s="75">
        <v>214.53296961910775</v>
      </c>
      <c r="E52" s="75">
        <v>214.80828056458657</v>
      </c>
      <c r="F52" s="98">
        <v>337.01281571965285</v>
      </c>
      <c r="G52" s="47">
        <v>334.99404053208116</v>
      </c>
      <c r="H52" s="47">
        <v>335.19982799943421</v>
      </c>
      <c r="I52" s="105">
        <f t="shared" si="0"/>
        <v>6.1430187541899883E-4</v>
      </c>
    </row>
    <row r="53" spans="1:9" ht="14.4" x14ac:dyDescent="0.3">
      <c r="A53" s="71" t="s">
        <v>41</v>
      </c>
      <c r="B53" s="72"/>
      <c r="C53" s="72">
        <v>7.1336795394865478</v>
      </c>
      <c r="D53" s="72">
        <v>5.5709483068855699</v>
      </c>
      <c r="E53" s="72">
        <v>5.076880880549834</v>
      </c>
      <c r="F53" s="97">
        <v>66.98669109530357</v>
      </c>
      <c r="G53" s="48">
        <v>66.127319722519999</v>
      </c>
      <c r="H53" s="48">
        <v>65.998019351785274</v>
      </c>
      <c r="I53" s="106">
        <f t="shared" si="0"/>
        <v>-1.9553245357182281E-3</v>
      </c>
    </row>
    <row r="54" spans="1:9" ht="14.4" x14ac:dyDescent="0.3">
      <c r="A54" s="68" t="s">
        <v>42</v>
      </c>
      <c r="B54" s="69"/>
      <c r="C54" s="69">
        <v>46.408922328427728</v>
      </c>
      <c r="D54" s="69">
        <v>45.985954714927693</v>
      </c>
      <c r="E54" s="69">
        <v>46.755333086742247</v>
      </c>
      <c r="F54" s="96">
        <v>50.754624624349269</v>
      </c>
      <c r="G54" s="48">
        <v>48.497970809561124</v>
      </c>
      <c r="H54" s="48">
        <v>48.508608647648899</v>
      </c>
      <c r="I54" s="106">
        <f t="shared" si="0"/>
        <v>2.1934604500351007E-4</v>
      </c>
    </row>
    <row r="55" spans="1:9" ht="14.4" x14ac:dyDescent="0.3">
      <c r="A55" s="71" t="s">
        <v>43</v>
      </c>
      <c r="B55" s="72"/>
      <c r="C55" s="72">
        <v>162.97606659729448</v>
      </c>
      <c r="D55" s="72">
        <v>162.97606659729448</v>
      </c>
      <c r="E55" s="72">
        <v>162.97606659729448</v>
      </c>
      <c r="F55" s="97">
        <v>219.27149999999997</v>
      </c>
      <c r="G55" s="48">
        <v>220.36875000000001</v>
      </c>
      <c r="H55" s="48">
        <v>220.69320000000002</v>
      </c>
      <c r="I55" s="106">
        <f t="shared" si="0"/>
        <v>1.4723049434186564E-3</v>
      </c>
    </row>
    <row r="56" spans="1:9" s="4" customFormat="1" ht="15" x14ac:dyDescent="0.3">
      <c r="A56" s="74" t="s">
        <v>44</v>
      </c>
      <c r="B56" s="75"/>
      <c r="C56" s="75">
        <v>167.3005146525025</v>
      </c>
      <c r="D56" s="75">
        <v>293.83826568030139</v>
      </c>
      <c r="E56" s="75">
        <v>242.13732527235516</v>
      </c>
      <c r="F56" s="98">
        <v>225.21907526516392</v>
      </c>
      <c r="G56" s="47">
        <v>219.44445399901878</v>
      </c>
      <c r="H56" s="47">
        <v>218.47450966305411</v>
      </c>
      <c r="I56" s="105">
        <f t="shared" si="0"/>
        <v>-4.4199993132157944E-3</v>
      </c>
    </row>
    <row r="57" spans="1:9" ht="14.4" x14ac:dyDescent="0.3">
      <c r="A57" s="71" t="s">
        <v>45</v>
      </c>
      <c r="B57" s="72"/>
      <c r="C57" s="72">
        <v>167.3005146525025</v>
      </c>
      <c r="D57" s="72">
        <v>293.83826568030139</v>
      </c>
      <c r="E57" s="72">
        <v>242.13732527235516</v>
      </c>
      <c r="F57" s="97">
        <v>225.21907526516392</v>
      </c>
      <c r="G57" s="48">
        <v>219.44445399901878</v>
      </c>
      <c r="H57" s="48">
        <v>218.47450966305411</v>
      </c>
      <c r="I57" s="106">
        <f t="shared" si="0"/>
        <v>-4.4199993132157944E-3</v>
      </c>
    </row>
    <row r="58" spans="1:9" ht="15" x14ac:dyDescent="0.3">
      <c r="A58" s="62" t="s">
        <v>46</v>
      </c>
      <c r="B58" s="63"/>
      <c r="C58" s="63">
        <v>5731.8349309402529</v>
      </c>
      <c r="D58" s="63">
        <v>4912.080629277365</v>
      </c>
      <c r="E58" s="63">
        <v>4547.852082102554</v>
      </c>
      <c r="F58" s="99">
        <v>6447.8019744593439</v>
      </c>
      <c r="G58" s="46">
        <v>6473.3411657450215</v>
      </c>
      <c r="H58" s="46">
        <v>6485.0756188321957</v>
      </c>
      <c r="I58" s="104">
        <f t="shared" si="0"/>
        <v>1.8127351527938984E-3</v>
      </c>
    </row>
    <row r="59" spans="1:9" ht="15" x14ac:dyDescent="0.3">
      <c r="A59" s="65" t="s">
        <v>47</v>
      </c>
      <c r="B59" s="66"/>
      <c r="C59" s="66">
        <v>331.78044362521069</v>
      </c>
      <c r="D59" s="66">
        <v>385.93309709555052</v>
      </c>
      <c r="E59" s="66">
        <v>385.93309709555052</v>
      </c>
      <c r="F59" s="95">
        <v>648.87551303439727</v>
      </c>
      <c r="G59" s="47">
        <v>648.87551303439727</v>
      </c>
      <c r="H59" s="47">
        <v>648.87551303439727</v>
      </c>
      <c r="I59" s="105">
        <f t="shared" si="0"/>
        <v>0</v>
      </c>
    </row>
    <row r="60" spans="1:9" ht="14.4" x14ac:dyDescent="0.3">
      <c r="A60" s="68" t="s">
        <v>48</v>
      </c>
      <c r="B60" s="69"/>
      <c r="C60" s="69">
        <v>190.44920371216264</v>
      </c>
      <c r="D60" s="69">
        <v>248.19100582848117</v>
      </c>
      <c r="E60" s="69">
        <v>248.19100582848117</v>
      </c>
      <c r="F60" s="96">
        <v>380.08594683226517</v>
      </c>
      <c r="G60" s="48">
        <v>380.08594683226517</v>
      </c>
      <c r="H60" s="48">
        <v>380.08594683226517</v>
      </c>
      <c r="I60" s="106">
        <f t="shared" si="0"/>
        <v>0</v>
      </c>
    </row>
    <row r="61" spans="1:9" ht="14.4" x14ac:dyDescent="0.3">
      <c r="A61" s="71" t="s">
        <v>49</v>
      </c>
      <c r="B61" s="72"/>
      <c r="C61" s="72">
        <v>101.22718164041534</v>
      </c>
      <c r="D61" s="72">
        <v>97.638032994436642</v>
      </c>
      <c r="E61" s="72">
        <v>97.638032994436642</v>
      </c>
      <c r="F61" s="97">
        <v>203.28969120213219</v>
      </c>
      <c r="G61" s="48">
        <v>203.28969120213219</v>
      </c>
      <c r="H61" s="48">
        <v>203.28969120213219</v>
      </c>
      <c r="I61" s="106">
        <f t="shared" si="0"/>
        <v>0</v>
      </c>
    </row>
    <row r="62" spans="1:9" ht="14.4" x14ac:dyDescent="0.3">
      <c r="A62" s="68" t="s">
        <v>50</v>
      </c>
      <c r="B62" s="69"/>
      <c r="C62" s="69">
        <v>3.9592091571279915</v>
      </c>
      <c r="D62" s="69">
        <v>3.9592091571279915</v>
      </c>
      <c r="E62" s="69">
        <v>3.9592091571279915</v>
      </c>
      <c r="F62" s="96">
        <v>9.7999999999999989</v>
      </c>
      <c r="G62" s="48">
        <v>9.8000000000000007</v>
      </c>
      <c r="H62" s="48">
        <v>9.8000000000000007</v>
      </c>
      <c r="I62" s="106">
        <f t="shared" si="0"/>
        <v>0</v>
      </c>
    </row>
    <row r="63" spans="1:9" ht="14.4" x14ac:dyDescent="0.3">
      <c r="A63" s="71" t="s">
        <v>51</v>
      </c>
      <c r="B63" s="72"/>
      <c r="C63" s="72">
        <v>25.052237252861602</v>
      </c>
      <c r="D63" s="72">
        <v>25.052237252861602</v>
      </c>
      <c r="E63" s="72">
        <v>25.052237252861602</v>
      </c>
      <c r="F63" s="97">
        <v>34.160000000000011</v>
      </c>
      <c r="G63" s="48">
        <v>34.160000000000004</v>
      </c>
      <c r="H63" s="48">
        <v>34.160000000000004</v>
      </c>
      <c r="I63" s="106">
        <f t="shared" si="0"/>
        <v>0</v>
      </c>
    </row>
    <row r="64" spans="1:9" ht="14.4" x14ac:dyDescent="0.3">
      <c r="A64" s="68" t="s">
        <v>52</v>
      </c>
      <c r="B64" s="69"/>
      <c r="C64" s="69">
        <v>11.09261186264308</v>
      </c>
      <c r="D64" s="69">
        <v>11.09261186264308</v>
      </c>
      <c r="E64" s="69">
        <v>11.09261186264308</v>
      </c>
      <c r="F64" s="96">
        <v>21.539874999999999</v>
      </c>
      <c r="G64" s="48">
        <v>21.539874999999999</v>
      </c>
      <c r="H64" s="48">
        <v>21.539874999999999</v>
      </c>
      <c r="I64" s="106">
        <f t="shared" si="0"/>
        <v>0</v>
      </c>
    </row>
    <row r="65" spans="1:9" ht="15" x14ac:dyDescent="0.3">
      <c r="A65" s="65" t="s">
        <v>53</v>
      </c>
      <c r="B65" s="66"/>
      <c r="C65" s="66">
        <v>102.39334027055149</v>
      </c>
      <c r="D65" s="66">
        <v>102.39334027055149</v>
      </c>
      <c r="E65" s="66">
        <v>102.39334027055149</v>
      </c>
      <c r="F65" s="95">
        <v>143.67562234287087</v>
      </c>
      <c r="G65" s="47">
        <v>143.68750166386963</v>
      </c>
      <c r="H65" s="47">
        <v>143.80723168810977</v>
      </c>
      <c r="I65" s="105">
        <f t="shared" si="0"/>
        <v>8.3326679671991144E-4</v>
      </c>
    </row>
    <row r="66" spans="1:9" ht="14.4" x14ac:dyDescent="0.3">
      <c r="A66" s="68" t="s">
        <v>54</v>
      </c>
      <c r="B66" s="69"/>
      <c r="C66" s="69">
        <v>102.39334027055149</v>
      </c>
      <c r="D66" s="69">
        <v>102.39334027055149</v>
      </c>
      <c r="E66" s="69">
        <v>102.39334027055149</v>
      </c>
      <c r="F66" s="96">
        <v>143.67562234287087</v>
      </c>
      <c r="G66" s="48">
        <v>143.68750166386963</v>
      </c>
      <c r="H66" s="48">
        <v>143.80723168810977</v>
      </c>
      <c r="I66" s="106">
        <f t="shared" si="0"/>
        <v>8.3326679671991144E-4</v>
      </c>
    </row>
    <row r="67" spans="1:9" ht="15" x14ac:dyDescent="0.3">
      <c r="A67" s="78" t="s">
        <v>55</v>
      </c>
      <c r="B67" s="79"/>
      <c r="C67" s="79">
        <v>6166.0087148360153</v>
      </c>
      <c r="D67" s="79">
        <v>5400.4070666434673</v>
      </c>
      <c r="E67" s="79">
        <v>5036.1785194686563</v>
      </c>
      <c r="F67" s="100">
        <v>7240.353109836612</v>
      </c>
      <c r="G67" s="46">
        <v>7265.9041804432882</v>
      </c>
      <c r="H67" s="46">
        <v>7277.7583635547026</v>
      </c>
      <c r="I67" s="104">
        <f t="shared" si="0"/>
        <v>1.6314807926205432E-3</v>
      </c>
    </row>
    <row r="68" spans="1:9" ht="15" x14ac:dyDescent="0.3">
      <c r="A68" s="74" t="s">
        <v>63</v>
      </c>
      <c r="B68" s="75"/>
      <c r="C68" s="75">
        <v>718.28811956523623</v>
      </c>
      <c r="D68" s="75">
        <v>1006.1661013911305</v>
      </c>
      <c r="E68" s="75">
        <v>809.34981916430479</v>
      </c>
      <c r="F68" s="98">
        <v>1526.3519825356063</v>
      </c>
      <c r="G68" s="47">
        <v>1625.3515930345748</v>
      </c>
      <c r="H68" s="47">
        <v>1623.6287012473779</v>
      </c>
      <c r="I68" s="105">
        <f t="shared" si="0"/>
        <v>-1.0600117504300233E-3</v>
      </c>
    </row>
    <row r="69" spans="1:9" ht="14.4" x14ac:dyDescent="0.3">
      <c r="A69" s="71" t="s">
        <v>56</v>
      </c>
      <c r="B69" s="72"/>
      <c r="C69" s="72">
        <v>196.33417437882579</v>
      </c>
      <c r="D69" s="72">
        <v>340.23378131403319</v>
      </c>
      <c r="E69" s="72">
        <v>280.36953452588494</v>
      </c>
      <c r="F69" s="97">
        <v>525.51117561871581</v>
      </c>
      <c r="G69" s="48">
        <v>512.03705933104368</v>
      </c>
      <c r="H69" s="48">
        <v>509.77385588045945</v>
      </c>
      <c r="I69" s="106">
        <f t="shared" si="0"/>
        <v>-4.4199993132157944E-3</v>
      </c>
    </row>
    <row r="70" spans="1:9" ht="14.4" x14ac:dyDescent="0.3">
      <c r="A70" s="68" t="s">
        <v>57</v>
      </c>
      <c r="B70" s="69"/>
      <c r="C70" s="69">
        <v>239.00561900334773</v>
      </c>
      <c r="D70" s="69">
        <v>237.2541406027232</v>
      </c>
      <c r="E70" s="69">
        <v>177.6477094117156</v>
      </c>
      <c r="F70" s="96">
        <v>144.19638883612606</v>
      </c>
      <c r="G70" s="48">
        <v>161.48740250268153</v>
      </c>
      <c r="H70" s="48">
        <v>162.02771416606899</v>
      </c>
      <c r="I70" s="106">
        <f t="shared" si="0"/>
        <v>3.3458440411688883E-3</v>
      </c>
    </row>
    <row r="71" spans="1:9" ht="14.4" x14ac:dyDescent="0.3">
      <c r="A71" s="71" t="s">
        <v>58</v>
      </c>
      <c r="B71" s="72"/>
      <c r="C71" s="72">
        <v>252.8580610512555</v>
      </c>
      <c r="D71" s="72">
        <v>390.16735091037839</v>
      </c>
      <c r="E71" s="72">
        <v>319.77018362073824</v>
      </c>
      <c r="F71" s="97">
        <v>784.31648058076462</v>
      </c>
      <c r="G71" s="48">
        <v>871.4627562008493</v>
      </c>
      <c r="H71" s="48">
        <v>871.4627562008493</v>
      </c>
      <c r="I71" s="106">
        <f t="shared" si="0"/>
        <v>0</v>
      </c>
    </row>
    <row r="72" spans="1:9" ht="14.4" x14ac:dyDescent="0.3">
      <c r="A72" s="68" t="s">
        <v>59</v>
      </c>
      <c r="B72" s="69"/>
      <c r="C72" s="69">
        <v>30.090265131807147</v>
      </c>
      <c r="D72" s="69">
        <v>38.510828563995844</v>
      </c>
      <c r="E72" s="69">
        <v>31.562391605965999</v>
      </c>
      <c r="F72" s="96">
        <v>72.327937500000004</v>
      </c>
      <c r="G72" s="49">
        <v>80.36437500000001</v>
      </c>
      <c r="H72" s="49">
        <v>80.36437500000001</v>
      </c>
      <c r="I72" s="107">
        <f t="shared" si="0"/>
        <v>0</v>
      </c>
    </row>
    <row r="73" spans="1:9" ht="15" x14ac:dyDescent="0.3">
      <c r="A73" s="81" t="s">
        <v>60</v>
      </c>
      <c r="B73" s="82"/>
      <c r="C73" s="82">
        <v>6884.2968344012515</v>
      </c>
      <c r="D73" s="82">
        <v>6406.573168034598</v>
      </c>
      <c r="E73" s="82">
        <v>5845.5283386329611</v>
      </c>
      <c r="F73" s="100">
        <v>8766.7050923722181</v>
      </c>
      <c r="G73" s="46">
        <v>8891.2557734778638</v>
      </c>
      <c r="H73" s="46">
        <v>8901.3870648020802</v>
      </c>
      <c r="I73" s="104">
        <f t="shared" si="0"/>
        <v>1.1394668629867155E-3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/>
      <c r="C75" s="86">
        <v>68</v>
      </c>
      <c r="D75" s="86">
        <v>68</v>
      </c>
      <c r="E75" s="86">
        <v>68</v>
      </c>
      <c r="F75" s="86">
        <v>70</v>
      </c>
      <c r="G75" s="108">
        <v>70</v>
      </c>
      <c r="H75" s="108">
        <v>70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/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>
      <c r="A82" s="93"/>
      <c r="B82" s="93"/>
      <c r="C82" s="93"/>
      <c r="D82" s="93"/>
      <c r="E82" s="93"/>
      <c r="F82" s="93"/>
      <c r="G82" s="93"/>
      <c r="H82" s="93"/>
      <c r="I82" s="93"/>
    </row>
    <row r="83" spans="1:9" ht="14.7" hidden="1" customHeight="1" x14ac:dyDescent="0.3">
      <c r="A83" s="94"/>
      <c r="B83" s="94"/>
      <c r="C83" s="94"/>
      <c r="D83" s="93"/>
      <c r="E83" s="93"/>
      <c r="F83" s="93"/>
      <c r="G83" s="93"/>
      <c r="H83" s="93"/>
      <c r="I83" s="93"/>
    </row>
    <row r="84" spans="1:9" ht="37.950000000000003" hidden="1" customHeight="1" x14ac:dyDescent="0.3">
      <c r="A84" s="124"/>
      <c r="B84" s="124"/>
      <c r="C84" s="124"/>
      <c r="D84" s="124"/>
      <c r="E84" s="124"/>
      <c r="F84" s="124"/>
      <c r="G84" s="124"/>
      <c r="H84" s="93"/>
      <c r="I84" s="93"/>
    </row>
  </sheetData>
  <mergeCells count="5">
    <mergeCell ref="A2:I2"/>
    <mergeCell ref="A3:I3"/>
    <mergeCell ref="A4:I4"/>
    <mergeCell ref="A80:I80"/>
    <mergeCell ref="A84:G8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1A28-9447-4DB9-A46B-976F8F8619AD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21.75" customHeight="1" x14ac:dyDescent="0.3">
      <c r="A4" s="122" t="s">
        <v>121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2604.6689304980609</v>
      </c>
      <c r="C9" s="64">
        <v>4428.912905651483</v>
      </c>
      <c r="D9" s="63">
        <v>3833.7499851395451</v>
      </c>
      <c r="E9" s="63">
        <v>3425.7314143467288</v>
      </c>
      <c r="F9" s="99">
        <v>3796.0428156572057</v>
      </c>
      <c r="G9" s="46">
        <v>3743.6829887707868</v>
      </c>
      <c r="H9" s="46">
        <v>3725.7742051849573</v>
      </c>
      <c r="I9" s="104">
        <f>IFERROR(H9/G9-1,"-")</f>
        <v>-4.7837339965876025E-3</v>
      </c>
    </row>
    <row r="10" spans="1:9" ht="15" x14ac:dyDescent="0.3">
      <c r="A10" s="65" t="s">
        <v>3</v>
      </c>
      <c r="B10" s="66">
        <v>483.34743060248263</v>
      </c>
      <c r="C10" s="66">
        <v>772.91986935983925</v>
      </c>
      <c r="D10" s="66">
        <v>551.90845940431734</v>
      </c>
      <c r="E10" s="66">
        <v>561.07349673166414</v>
      </c>
      <c r="F10" s="95">
        <v>503.7596006466282</v>
      </c>
      <c r="G10" s="47">
        <v>440.17526340233155</v>
      </c>
      <c r="H10" s="47">
        <v>427.01619319073302</v>
      </c>
      <c r="I10" s="105">
        <f t="shared" ref="I10:I73" si="0">IFERROR(H10/G10-1,"-")</f>
        <v>-2.9895069772630123E-2</v>
      </c>
    </row>
    <row r="11" spans="1:9" ht="14.4" x14ac:dyDescent="0.3">
      <c r="A11" s="68" t="s">
        <v>4</v>
      </c>
      <c r="B11" s="69">
        <v>438.49745620248262</v>
      </c>
      <c r="C11" s="69">
        <v>708.81580522854517</v>
      </c>
      <c r="D11" s="69">
        <v>525.39548276407368</v>
      </c>
      <c r="E11" s="69">
        <v>536.74932453611405</v>
      </c>
      <c r="F11" s="96">
        <v>497.31775177799244</v>
      </c>
      <c r="G11" s="48">
        <v>434.70099238545259</v>
      </c>
      <c r="H11" s="48">
        <v>422.07277009071856</v>
      </c>
      <c r="I11" s="106">
        <f t="shared" si="0"/>
        <v>-2.9050364540084805E-2</v>
      </c>
    </row>
    <row r="12" spans="1:9" ht="14.4" x14ac:dyDescent="0.3">
      <c r="A12" s="71" t="s">
        <v>5</v>
      </c>
      <c r="B12" s="72">
        <v>44.849974400000008</v>
      </c>
      <c r="C12" s="72">
        <v>64.104064131294109</v>
      </c>
      <c r="D12" s="72">
        <v>26.512976640243682</v>
      </c>
      <c r="E12" s="72">
        <v>24.324172195550045</v>
      </c>
      <c r="F12" s="97">
        <v>6.44184886863576</v>
      </c>
      <c r="G12" s="48">
        <v>5.4742710168789781</v>
      </c>
      <c r="H12" s="48">
        <v>4.9434231000144617</v>
      </c>
      <c r="I12" s="106">
        <f t="shared" si="0"/>
        <v>-9.6971435142275131E-2</v>
      </c>
    </row>
    <row r="13" spans="1:9" ht="15" x14ac:dyDescent="0.3">
      <c r="A13" s="74" t="s">
        <v>6</v>
      </c>
      <c r="B13" s="75">
        <v>1032.1284988925865</v>
      </c>
      <c r="C13" s="75">
        <v>2234.0014759092769</v>
      </c>
      <c r="D13" s="75">
        <v>1852.0171108685231</v>
      </c>
      <c r="E13" s="75">
        <v>1638.3254709297805</v>
      </c>
      <c r="F13" s="98">
        <v>1644.7659771969456</v>
      </c>
      <c r="G13" s="47">
        <v>1692.4465912706594</v>
      </c>
      <c r="H13" s="47">
        <v>1691.103537276249</v>
      </c>
      <c r="I13" s="105">
        <f t="shared" si="0"/>
        <v>-7.9355768231481605E-4</v>
      </c>
    </row>
    <row r="14" spans="1:9" ht="14.4" x14ac:dyDescent="0.3">
      <c r="A14" s="71" t="s">
        <v>7</v>
      </c>
      <c r="B14" s="72">
        <v>71.981434351003756</v>
      </c>
      <c r="C14" s="72">
        <v>108.60399572739794</v>
      </c>
      <c r="D14" s="72">
        <v>273.40495872334492</v>
      </c>
      <c r="E14" s="72">
        <v>281.44434308551007</v>
      </c>
      <c r="F14" s="97">
        <v>151.33793036766056</v>
      </c>
      <c r="G14" s="48">
        <v>163.74283617376724</v>
      </c>
      <c r="H14" s="48">
        <v>163.28842793671456</v>
      </c>
      <c r="I14" s="106">
        <f t="shared" si="0"/>
        <v>-2.7751335427612656E-3</v>
      </c>
    </row>
    <row r="15" spans="1:9" ht="14.4" x14ac:dyDescent="0.3">
      <c r="A15" s="68" t="s">
        <v>8</v>
      </c>
      <c r="B15" s="69">
        <v>938.70735296016414</v>
      </c>
      <c r="C15" s="69">
        <v>2093.8934758384758</v>
      </c>
      <c r="D15" s="69">
        <v>1499.2152026866454</v>
      </c>
      <c r="E15" s="69">
        <v>1268.4764121218727</v>
      </c>
      <c r="F15" s="96">
        <v>1402.5836809286943</v>
      </c>
      <c r="G15" s="48">
        <v>1432.3352749055555</v>
      </c>
      <c r="H15" s="48">
        <v>1431.3359092746646</v>
      </c>
      <c r="I15" s="106">
        <f t="shared" si="0"/>
        <v>-6.9771767015702757E-4</v>
      </c>
    </row>
    <row r="16" spans="1:9" ht="14.4" x14ac:dyDescent="0.3">
      <c r="A16" s="71" t="s">
        <v>9</v>
      </c>
      <c r="B16" s="72">
        <v>21.439711581418713</v>
      </c>
      <c r="C16" s="72">
        <v>31.504004343403373</v>
      </c>
      <c r="D16" s="72">
        <v>79.396949458532887</v>
      </c>
      <c r="E16" s="72">
        <v>88.40471572239764</v>
      </c>
      <c r="F16" s="97">
        <v>90.844365900590688</v>
      </c>
      <c r="G16" s="48">
        <v>96.368480191336559</v>
      </c>
      <c r="H16" s="48">
        <v>96.4792000648699</v>
      </c>
      <c r="I16" s="106">
        <f t="shared" si="0"/>
        <v>1.1489220678120304E-3</v>
      </c>
    </row>
    <row r="17" spans="1:9" ht="15" x14ac:dyDescent="0.3">
      <c r="A17" s="74" t="s">
        <v>10</v>
      </c>
      <c r="B17" s="75">
        <v>855.76609975986401</v>
      </c>
      <c r="C17" s="75">
        <v>1121.6082812909319</v>
      </c>
      <c r="D17" s="75">
        <v>1100.2539075598686</v>
      </c>
      <c r="E17" s="75">
        <v>894.79295209792576</v>
      </c>
      <c r="F17" s="98">
        <v>1218.1119610873343</v>
      </c>
      <c r="G17" s="47">
        <v>1192.1640083233933</v>
      </c>
      <c r="H17" s="47">
        <v>1188.7564317776626</v>
      </c>
      <c r="I17" s="105">
        <f t="shared" si="0"/>
        <v>-2.8583118781810857E-3</v>
      </c>
    </row>
    <row r="18" spans="1:9" ht="14.4" x14ac:dyDescent="0.3">
      <c r="A18" s="71" t="s">
        <v>11</v>
      </c>
      <c r="B18" s="72">
        <v>319.20738606814643</v>
      </c>
      <c r="C18" s="72">
        <v>381.68382203558616</v>
      </c>
      <c r="D18" s="72">
        <v>391.03432192206412</v>
      </c>
      <c r="E18" s="72">
        <v>367.61547837454663</v>
      </c>
      <c r="F18" s="97">
        <v>484.80219158521754</v>
      </c>
      <c r="G18" s="48">
        <v>470.82132343153739</v>
      </c>
      <c r="H18" s="48">
        <v>468.28988392950254</v>
      </c>
      <c r="I18" s="106">
        <f t="shared" si="0"/>
        <v>-5.3766458230580794E-3</v>
      </c>
    </row>
    <row r="19" spans="1:9" ht="14.4" x14ac:dyDescent="0.3">
      <c r="A19" s="68" t="s">
        <v>12</v>
      </c>
      <c r="B19" s="69">
        <v>193.9214784074336</v>
      </c>
      <c r="C19" s="69">
        <v>316.69571973645486</v>
      </c>
      <c r="D19" s="69">
        <v>310.2696032836522</v>
      </c>
      <c r="E19" s="69">
        <v>217.98719829579682</v>
      </c>
      <c r="F19" s="96">
        <v>149.27983427555236</v>
      </c>
      <c r="G19" s="48">
        <v>153.82575803423998</v>
      </c>
      <c r="H19" s="48">
        <v>154.52274598373577</v>
      </c>
      <c r="I19" s="106">
        <f t="shared" si="0"/>
        <v>4.5310223619419165E-3</v>
      </c>
    </row>
    <row r="20" spans="1:9" ht="14.4" x14ac:dyDescent="0.3">
      <c r="A20" s="71" t="s">
        <v>13</v>
      </c>
      <c r="B20" s="72">
        <v>287.48567549526427</v>
      </c>
      <c r="C20" s="72">
        <v>354.74875274104642</v>
      </c>
      <c r="D20" s="72">
        <v>335.3698230993121</v>
      </c>
      <c r="E20" s="72">
        <v>255.98280516230707</v>
      </c>
      <c r="F20" s="97">
        <v>393.55428387229705</v>
      </c>
      <c r="G20" s="48">
        <v>338.82488619273926</v>
      </c>
      <c r="H20" s="48">
        <v>337.08604612575573</v>
      </c>
      <c r="I20" s="106">
        <f t="shared" si="0"/>
        <v>-5.1319727028386053E-3</v>
      </c>
    </row>
    <row r="21" spans="1:9" ht="14.4" x14ac:dyDescent="0.3">
      <c r="A21" s="68" t="s">
        <v>14</v>
      </c>
      <c r="B21" s="69">
        <v>55.151559789019608</v>
      </c>
      <c r="C21" s="69">
        <v>68.479986777844459</v>
      </c>
      <c r="D21" s="69">
        <v>63.580159254840176</v>
      </c>
      <c r="E21" s="69">
        <v>53.207470265275241</v>
      </c>
      <c r="F21" s="96">
        <v>190.47565135426728</v>
      </c>
      <c r="G21" s="48">
        <v>228.69204066487663</v>
      </c>
      <c r="H21" s="48">
        <v>228.85775573866857</v>
      </c>
      <c r="I21" s="106">
        <f t="shared" si="0"/>
        <v>7.2462108130277869E-4</v>
      </c>
    </row>
    <row r="22" spans="1:9" ht="15" x14ac:dyDescent="0.3">
      <c r="A22" s="74" t="s">
        <v>129</v>
      </c>
      <c r="B22" s="75">
        <v>132.40983902090568</v>
      </c>
      <c r="C22" s="75">
        <v>199.36621686921296</v>
      </c>
      <c r="D22" s="75">
        <v>141.63337369572457</v>
      </c>
      <c r="E22" s="75">
        <v>143.65683550772832</v>
      </c>
      <c r="F22" s="112">
        <v>175.49971118969728</v>
      </c>
      <c r="G22" s="47">
        <v>166.76357125061469</v>
      </c>
      <c r="H22" s="47">
        <v>166.76405321382509</v>
      </c>
      <c r="I22" s="105">
        <f t="shared" si="0"/>
        <v>2.8900988795488303E-6</v>
      </c>
    </row>
    <row r="23" spans="1:9" ht="14.4" x14ac:dyDescent="0.3">
      <c r="A23" s="71" t="s">
        <v>15</v>
      </c>
      <c r="B23" s="72">
        <v>26.860904881727432</v>
      </c>
      <c r="C23" s="72">
        <v>40.443799551091274</v>
      </c>
      <c r="D23" s="72">
        <v>35.884773370343218</v>
      </c>
      <c r="E23" s="72">
        <v>36.39744539567598</v>
      </c>
      <c r="F23" s="113">
        <v>16.892249266378627</v>
      </c>
      <c r="G23" s="48">
        <v>16.051375783017516</v>
      </c>
      <c r="H23" s="48">
        <v>16.051422173080681</v>
      </c>
      <c r="I23" s="106">
        <f>IFERROR(H23/G23-1,"-")</f>
        <v>2.8900988795488303E-6</v>
      </c>
    </row>
    <row r="24" spans="1:9" ht="15" x14ac:dyDescent="0.3">
      <c r="A24" s="68" t="s">
        <v>16</v>
      </c>
      <c r="B24" s="69">
        <v>46.444722070312501</v>
      </c>
      <c r="C24" s="69">
        <v>69.930668303571423</v>
      </c>
      <c r="D24" s="69">
        <v>57.073864349672448</v>
      </c>
      <c r="E24" s="69">
        <v>57.889256809525499</v>
      </c>
      <c r="F24" s="117">
        <v>74.312587054981464</v>
      </c>
      <c r="G24" s="48">
        <v>70.613406268035035</v>
      </c>
      <c r="H24" s="48">
        <v>70.613610347761352</v>
      </c>
      <c r="I24" s="106">
        <f t="shared" si="0"/>
        <v>2.8900988793267857E-6</v>
      </c>
    </row>
    <row r="25" spans="1:9" ht="14.4" x14ac:dyDescent="0.3">
      <c r="A25" s="71" t="s">
        <v>17</v>
      </c>
      <c r="B25" s="72">
        <v>30.693903281250005</v>
      </c>
      <c r="C25" s="72">
        <v>46.215050357142864</v>
      </c>
      <c r="D25" s="72">
        <v>14.85484140607913</v>
      </c>
      <c r="E25" s="72">
        <v>15.067066840835407</v>
      </c>
      <c r="F25" s="113">
        <v>27.063091405097726</v>
      </c>
      <c r="G25" s="48">
        <v>25.715927058806791</v>
      </c>
      <c r="H25" s="48">
        <v>25.716001380378763</v>
      </c>
      <c r="I25" s="106">
        <f t="shared" si="0"/>
        <v>2.8900988793267857E-6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28.410308787615737</v>
      </c>
      <c r="C27" s="72">
        <v>42.776698657407401</v>
      </c>
      <c r="D27" s="72">
        <v>33.819894569629774</v>
      </c>
      <c r="E27" s="72">
        <v>34.303066461691436</v>
      </c>
      <c r="F27" s="113">
        <v>57.231783463239452</v>
      </c>
      <c r="G27" s="48">
        <v>54.382862140755343</v>
      </c>
      <c r="H27" s="48">
        <v>54.383019312604276</v>
      </c>
      <c r="I27" s="106">
        <f t="shared" si="0"/>
        <v>2.8900988793267857E-6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101.01706222222222</v>
      </c>
      <c r="C31" s="66">
        <v>101.01706222222222</v>
      </c>
      <c r="D31" s="66">
        <v>187.93713361111111</v>
      </c>
      <c r="E31" s="66">
        <v>187.88265907962963</v>
      </c>
      <c r="F31" s="95">
        <v>253.90556553659997</v>
      </c>
      <c r="G31" s="47">
        <v>252.13355452378755</v>
      </c>
      <c r="H31" s="47">
        <v>252.13398972648764</v>
      </c>
      <c r="I31" s="105">
        <f t="shared" si="0"/>
        <v>1.7260800566631929E-6</v>
      </c>
    </row>
    <row r="32" spans="1:9" ht="14.4" x14ac:dyDescent="0.3">
      <c r="A32" s="68" t="s">
        <v>21</v>
      </c>
      <c r="B32" s="69">
        <v>92.655951111111108</v>
      </c>
      <c r="C32" s="69">
        <v>92.655951111111108</v>
      </c>
      <c r="D32" s="69">
        <v>181.06907805555556</v>
      </c>
      <c r="E32" s="69">
        <v>181.01659426481481</v>
      </c>
      <c r="F32" s="96">
        <v>253.90556553659997</v>
      </c>
      <c r="G32" s="48">
        <v>252.13355452378755</v>
      </c>
      <c r="H32" s="48">
        <v>252.13398972648764</v>
      </c>
      <c r="I32" s="106">
        <f t="shared" si="0"/>
        <v>1.7260800566631929E-6</v>
      </c>
    </row>
    <row r="33" spans="1:20" ht="14.4" x14ac:dyDescent="0.3">
      <c r="A33" s="71" t="s">
        <v>22</v>
      </c>
      <c r="B33" s="72">
        <v>8.3611111111111107</v>
      </c>
      <c r="C33" s="72">
        <v>8.3611111111111107</v>
      </c>
      <c r="D33" s="72">
        <v>6.8680555555555562</v>
      </c>
      <c r="E33" s="72">
        <v>6.8660648148148153</v>
      </c>
      <c r="F33" s="97">
        <v>0</v>
      </c>
      <c r="G33" s="48">
        <v>0</v>
      </c>
      <c r="H33" s="48">
        <v>0</v>
      </c>
      <c r="I33" s="106" t="str">
        <f t="shared" si="0"/>
        <v>-</v>
      </c>
    </row>
    <row r="34" spans="1:20" ht="15" x14ac:dyDescent="0.3">
      <c r="A34" s="74" t="s">
        <v>23</v>
      </c>
      <c r="B34" s="75">
        <v>118.2127223765432</v>
      </c>
      <c r="C34" s="75">
        <v>118.2127223765432</v>
      </c>
      <c r="D34" s="75">
        <v>200.31059126984135</v>
      </c>
      <c r="E34" s="75">
        <v>200.30603960317467</v>
      </c>
      <c r="F34" s="98">
        <v>205.34521990740743</v>
      </c>
      <c r="G34" s="47">
        <v>205.34521990740745</v>
      </c>
      <c r="H34" s="47">
        <v>205.34521990740745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117.25022237654319</v>
      </c>
      <c r="C35" s="72">
        <v>117.25022237654319</v>
      </c>
      <c r="D35" s="72">
        <v>197.20367460317468</v>
      </c>
      <c r="E35" s="72">
        <v>197.20002349206356</v>
      </c>
      <c r="F35" s="97">
        <v>200.12365740740742</v>
      </c>
      <c r="G35" s="48">
        <v>200.12365740740745</v>
      </c>
      <c r="H35" s="48">
        <v>200.12365740740745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0.96250000000000024</v>
      </c>
      <c r="C36" s="69">
        <v>0.96250000000000024</v>
      </c>
      <c r="D36" s="69">
        <v>3.1069166666666668</v>
      </c>
      <c r="E36" s="69">
        <v>3.1060161111111104</v>
      </c>
      <c r="F36" s="96">
        <v>5.2215624999999992</v>
      </c>
      <c r="G36" s="48">
        <v>5.2215625000000001</v>
      </c>
      <c r="H36" s="48">
        <v>5.2215625000000001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155.43627427222225</v>
      </c>
      <c r="C37" s="66">
        <v>178.43015242222222</v>
      </c>
      <c r="D37" s="66">
        <v>222.61781367361112</v>
      </c>
      <c r="E37" s="66">
        <v>248.62416591498291</v>
      </c>
      <c r="F37" s="95">
        <v>291.49776051306588</v>
      </c>
      <c r="G37" s="47">
        <v>291.04385273195351</v>
      </c>
      <c r="H37" s="47">
        <v>290.96610154897076</v>
      </c>
      <c r="I37" s="105">
        <f t="shared" si="0"/>
        <v>-2.6714593781285156E-4</v>
      </c>
    </row>
    <row r="38" spans="1:20" ht="14.4" x14ac:dyDescent="0.3">
      <c r="A38" s="68" t="s">
        <v>27</v>
      </c>
      <c r="B38" s="69">
        <v>17.926782222222219</v>
      </c>
      <c r="C38" s="69">
        <v>17.926782222222219</v>
      </c>
      <c r="D38" s="69">
        <v>33.35181444444445</v>
      </c>
      <c r="E38" s="69">
        <v>51.617692392455162</v>
      </c>
      <c r="F38" s="96">
        <v>67.180901738141415</v>
      </c>
      <c r="G38" s="48">
        <v>66.420530457029031</v>
      </c>
      <c r="H38" s="48">
        <v>66.342779274046251</v>
      </c>
      <c r="I38" s="106">
        <f t="shared" si="0"/>
        <v>-1.1705896120941528E-3</v>
      </c>
    </row>
    <row r="39" spans="1:20" ht="14.4" x14ac:dyDescent="0.3">
      <c r="A39" s="71" t="s">
        <v>28</v>
      </c>
      <c r="B39" s="72">
        <v>62.01447000000001</v>
      </c>
      <c r="C39" s="72">
        <v>72.886280000000014</v>
      </c>
      <c r="D39" s="72">
        <v>84.497805000000014</v>
      </c>
      <c r="E39" s="72">
        <v>88.159049999999993</v>
      </c>
      <c r="F39" s="97">
        <v>102.12090000000001</v>
      </c>
      <c r="G39" s="48">
        <v>102.26580000000001</v>
      </c>
      <c r="H39" s="48">
        <v>102.26580000000001</v>
      </c>
      <c r="I39" s="106">
        <f t="shared" si="0"/>
        <v>0</v>
      </c>
    </row>
    <row r="40" spans="1:20" ht="14.4" x14ac:dyDescent="0.3">
      <c r="A40" s="68" t="s">
        <v>29</v>
      </c>
      <c r="B40" s="69">
        <v>62.01447000000001</v>
      </c>
      <c r="C40" s="69">
        <v>72.886280000000014</v>
      </c>
      <c r="D40" s="69">
        <v>84.497805000000014</v>
      </c>
      <c r="E40" s="69">
        <v>88.159049999999993</v>
      </c>
      <c r="F40" s="96">
        <v>102.12090000000001</v>
      </c>
      <c r="G40" s="48">
        <v>102.26580000000001</v>
      </c>
      <c r="H40" s="48">
        <v>102.26580000000001</v>
      </c>
      <c r="I40" s="106">
        <f t="shared" si="0"/>
        <v>0</v>
      </c>
    </row>
    <row r="41" spans="1:20" ht="14.4" x14ac:dyDescent="0.3">
      <c r="A41" s="71" t="s">
        <v>30</v>
      </c>
      <c r="B41" s="72">
        <v>0.42688799999999999</v>
      </c>
      <c r="C41" s="72">
        <v>0.42688799999999999</v>
      </c>
      <c r="D41" s="72">
        <v>2.1389749874999997</v>
      </c>
      <c r="E41" s="72">
        <v>2.1383549947499998</v>
      </c>
      <c r="F41" s="97">
        <v>1.3186552749244711</v>
      </c>
      <c r="G41" s="48">
        <v>1.3186552749244713</v>
      </c>
      <c r="H41" s="48">
        <v>1.3186552749244713</v>
      </c>
      <c r="I41" s="106">
        <f t="shared" si="0"/>
        <v>0</v>
      </c>
    </row>
    <row r="42" spans="1:20" ht="14.4" x14ac:dyDescent="0.3">
      <c r="A42" s="68" t="s">
        <v>31</v>
      </c>
      <c r="B42" s="69">
        <v>7.1316640500000013</v>
      </c>
      <c r="C42" s="69">
        <v>8.3819222000000035</v>
      </c>
      <c r="D42" s="69">
        <v>9.717247575</v>
      </c>
      <c r="E42" s="69">
        <v>10.138290749999998</v>
      </c>
      <c r="F42" s="96">
        <v>11.743903499999996</v>
      </c>
      <c r="G42" s="48">
        <v>11.760566999999998</v>
      </c>
      <c r="H42" s="48">
        <v>11.760566999999998</v>
      </c>
      <c r="I42" s="106">
        <f t="shared" si="0"/>
        <v>0</v>
      </c>
    </row>
    <row r="43" spans="1:20" ht="14.4" x14ac:dyDescent="0.3">
      <c r="A43" s="71" t="s">
        <v>32</v>
      </c>
      <c r="B43" s="72">
        <v>5.9219999999999979</v>
      </c>
      <c r="C43" s="72">
        <v>5.9219999999999979</v>
      </c>
      <c r="D43" s="72">
        <v>8.4141666666666648</v>
      </c>
      <c r="E43" s="72">
        <v>8.4117277777777755</v>
      </c>
      <c r="F43" s="97">
        <v>7.012500000000002</v>
      </c>
      <c r="G43" s="48">
        <v>7.0125000000000002</v>
      </c>
      <c r="H43" s="48">
        <v>7.0125000000000002</v>
      </c>
      <c r="I43" s="106">
        <f t="shared" si="0"/>
        <v>0</v>
      </c>
    </row>
    <row r="44" spans="1:20" ht="15" x14ac:dyDescent="0.3">
      <c r="A44" s="74" t="s">
        <v>33</v>
      </c>
      <c r="B44" s="75">
        <v>207.25004426364805</v>
      </c>
      <c r="C44" s="75">
        <v>313.49483544097274</v>
      </c>
      <c r="D44" s="75">
        <v>341.82757305173402</v>
      </c>
      <c r="E44" s="75">
        <v>316.02956796364219</v>
      </c>
      <c r="F44" s="98">
        <v>382.5233241328977</v>
      </c>
      <c r="G44" s="47">
        <v>387.53512530049051</v>
      </c>
      <c r="H44" s="47">
        <v>385.40145359339112</v>
      </c>
      <c r="I44" s="105">
        <f t="shared" si="0"/>
        <v>-5.5057504927971124E-3</v>
      </c>
    </row>
    <row r="45" spans="1:20" ht="14.4" x14ac:dyDescent="0.3">
      <c r="A45" s="71" t="s">
        <v>34</v>
      </c>
      <c r="B45" s="72">
        <v>186.55917424345932</v>
      </c>
      <c r="C45" s="72">
        <v>288.42728171046127</v>
      </c>
      <c r="D45" s="72">
        <v>309.60627062282748</v>
      </c>
      <c r="E45" s="72">
        <v>281.98714066462628</v>
      </c>
      <c r="F45" s="97">
        <v>345.30540377891538</v>
      </c>
      <c r="G45" s="48">
        <v>350.31720494650818</v>
      </c>
      <c r="H45" s="48">
        <v>348.1835332394088</v>
      </c>
      <c r="I45" s="106">
        <f t="shared" si="0"/>
        <v>-6.0906848906412403E-3</v>
      </c>
    </row>
    <row r="46" spans="1:20" ht="14.4" x14ac:dyDescent="0.3">
      <c r="A46" s="68" t="s">
        <v>35</v>
      </c>
      <c r="B46" s="69">
        <v>8.0153692772500076</v>
      </c>
      <c r="C46" s="69">
        <v>12.392052987572733</v>
      </c>
      <c r="D46" s="69">
        <v>0</v>
      </c>
      <c r="E46" s="69">
        <v>0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12.6755007429387</v>
      </c>
      <c r="C47" s="72">
        <v>12.6755007429387</v>
      </c>
      <c r="D47" s="72">
        <v>32.22130242890654</v>
      </c>
      <c r="E47" s="72">
        <v>34.042427299015905</v>
      </c>
      <c r="F47" s="97">
        <v>37.217920353982308</v>
      </c>
      <c r="G47" s="48">
        <v>37.217920353982301</v>
      </c>
      <c r="H47" s="48">
        <v>37.217920353982301</v>
      </c>
      <c r="I47" s="106">
        <f t="shared" si="0"/>
        <v>0</v>
      </c>
    </row>
    <row r="48" spans="1:20" ht="15" x14ac:dyDescent="0.3">
      <c r="A48" s="74" t="s">
        <v>37</v>
      </c>
      <c r="B48" s="75">
        <v>221.84999999999991</v>
      </c>
      <c r="C48" s="75">
        <v>221.84999999999991</v>
      </c>
      <c r="D48" s="75">
        <v>240.97499999999997</v>
      </c>
      <c r="E48" s="75">
        <v>240.97499999999997</v>
      </c>
      <c r="F48" s="98">
        <v>280</v>
      </c>
      <c r="G48" s="47">
        <v>280</v>
      </c>
      <c r="H48" s="47">
        <v>280</v>
      </c>
      <c r="I48" s="105">
        <f t="shared" si="0"/>
        <v>0</v>
      </c>
    </row>
    <row r="49" spans="1:9" ht="14.4" x14ac:dyDescent="0.3">
      <c r="A49" s="71" t="s">
        <v>62</v>
      </c>
      <c r="B49" s="72">
        <v>121.79999999999997</v>
      </c>
      <c r="C49" s="72">
        <v>121.79999999999997</v>
      </c>
      <c r="D49" s="72">
        <v>132.29999999999998</v>
      </c>
      <c r="E49" s="72">
        <v>132.29999999999998</v>
      </c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7.25</v>
      </c>
      <c r="C50" s="69">
        <v>7.25</v>
      </c>
      <c r="D50" s="69">
        <v>7.875</v>
      </c>
      <c r="E50" s="69">
        <v>7.875</v>
      </c>
      <c r="F50" s="96">
        <v>112</v>
      </c>
      <c r="G50" s="48">
        <v>112</v>
      </c>
      <c r="H50" s="48">
        <v>112</v>
      </c>
      <c r="I50" s="106">
        <f t="shared" si="0"/>
        <v>0</v>
      </c>
    </row>
    <row r="51" spans="1:9" ht="14.4" x14ac:dyDescent="0.3">
      <c r="A51" s="71" t="s">
        <v>39</v>
      </c>
      <c r="B51" s="72">
        <v>92.799999999999969</v>
      </c>
      <c r="C51" s="72">
        <v>92.799999999999969</v>
      </c>
      <c r="D51" s="72">
        <v>100.79999999999997</v>
      </c>
      <c r="E51" s="72">
        <v>100.79999999999997</v>
      </c>
      <c r="F51" s="97">
        <v>168</v>
      </c>
      <c r="G51" s="48">
        <v>168</v>
      </c>
      <c r="H51" s="48">
        <v>168</v>
      </c>
      <c r="I51" s="106">
        <f t="shared" si="0"/>
        <v>0</v>
      </c>
    </row>
    <row r="52" spans="1:9" ht="15" x14ac:dyDescent="0.3">
      <c r="A52" s="74" t="s">
        <v>40</v>
      </c>
      <c r="B52" s="75">
        <v>92.24980378444701</v>
      </c>
      <c r="C52" s="75">
        <v>113.86126703149554</v>
      </c>
      <c r="D52" s="75">
        <v>106.81239925111026</v>
      </c>
      <c r="E52" s="75">
        <v>105.19476747402268</v>
      </c>
      <c r="F52" s="98">
        <v>173.57411973506711</v>
      </c>
      <c r="G52" s="47">
        <v>173.49939096903</v>
      </c>
      <c r="H52" s="47">
        <v>173.54498137812072</v>
      </c>
      <c r="I52" s="105">
        <f t="shared" si="0"/>
        <v>2.6276985086859384E-4</v>
      </c>
    </row>
    <row r="53" spans="1:9" ht="14.4" x14ac:dyDescent="0.3">
      <c r="A53" s="71" t="s">
        <v>41</v>
      </c>
      <c r="B53" s="72">
        <v>8.7952199406970131</v>
      </c>
      <c r="C53" s="72">
        <v>13.597730531495541</v>
      </c>
      <c r="D53" s="72">
        <v>22.774668022790973</v>
      </c>
      <c r="E53" s="72">
        <v>20.743002079426926</v>
      </c>
      <c r="F53" s="97">
        <v>22.503783802982465</v>
      </c>
      <c r="G53" s="48">
        <v>22.830406232590462</v>
      </c>
      <c r="H53" s="48">
        <v>22.69135342230242</v>
      </c>
      <c r="I53" s="106">
        <f t="shared" si="0"/>
        <v>-6.0906848906413513E-3</v>
      </c>
    </row>
    <row r="54" spans="1:9" ht="14.4" x14ac:dyDescent="0.3">
      <c r="A54" s="68" t="s">
        <v>42</v>
      </c>
      <c r="B54" s="69">
        <v>33.636983843750002</v>
      </c>
      <c r="C54" s="69">
        <v>50.445936499999995</v>
      </c>
      <c r="D54" s="69">
        <v>27.381064561652636</v>
      </c>
      <c r="E54" s="69">
        <v>27.81152095015133</v>
      </c>
      <c r="F54" s="96">
        <v>22.400929682084609</v>
      </c>
      <c r="G54" s="48">
        <v>21.388906611439516</v>
      </c>
      <c r="H54" s="48">
        <v>21.392977955818278</v>
      </c>
      <c r="I54" s="106">
        <f t="shared" si="0"/>
        <v>1.9034841063758634E-4</v>
      </c>
    </row>
    <row r="55" spans="1:9" ht="14.4" x14ac:dyDescent="0.3">
      <c r="A55" s="71" t="s">
        <v>43</v>
      </c>
      <c r="B55" s="72">
        <v>49.817600000000006</v>
      </c>
      <c r="C55" s="72">
        <v>49.817600000000006</v>
      </c>
      <c r="D55" s="72">
        <v>56.656666666666645</v>
      </c>
      <c r="E55" s="72">
        <v>56.640244444444427</v>
      </c>
      <c r="F55" s="97">
        <v>128.66940625000004</v>
      </c>
      <c r="G55" s="48">
        <v>129.28007812500002</v>
      </c>
      <c r="H55" s="48">
        <v>129.46065000000002</v>
      </c>
      <c r="I55" s="106">
        <f t="shared" si="0"/>
        <v>1.3967494266626801E-3</v>
      </c>
    </row>
    <row r="56" spans="1:9" s="4" customFormat="1" ht="15" x14ac:dyDescent="0.3">
      <c r="A56" s="74" t="s">
        <v>44</v>
      </c>
      <c r="B56" s="75">
        <v>593.48178654407945</v>
      </c>
      <c r="C56" s="75">
        <v>661.01551849045643</v>
      </c>
      <c r="D56" s="75">
        <v>664.47657490630684</v>
      </c>
      <c r="E56" s="75">
        <v>350.55537466886477</v>
      </c>
      <c r="F56" s="98">
        <v>640.75540080636677</v>
      </c>
      <c r="G56" s="47">
        <v>624.17553485263477</v>
      </c>
      <c r="H56" s="47">
        <v>621.47085784411752</v>
      </c>
      <c r="I56" s="105">
        <f t="shared" si="0"/>
        <v>-4.3331993285443682E-3</v>
      </c>
    </row>
    <row r="57" spans="1:9" ht="14.4" x14ac:dyDescent="0.3">
      <c r="A57" s="71" t="s">
        <v>45</v>
      </c>
      <c r="B57" s="72">
        <v>593.48178654407945</v>
      </c>
      <c r="C57" s="72">
        <v>661.01551849045643</v>
      </c>
      <c r="D57" s="72">
        <v>664.47657490630684</v>
      </c>
      <c r="E57" s="72">
        <v>350.55537466886477</v>
      </c>
      <c r="F57" s="97">
        <v>640.75540080636677</v>
      </c>
      <c r="G57" s="48">
        <v>624.17553485263477</v>
      </c>
      <c r="H57" s="48">
        <v>621.47085784411752</v>
      </c>
      <c r="I57" s="106">
        <f t="shared" si="0"/>
        <v>-4.3331993285443682E-3</v>
      </c>
    </row>
    <row r="58" spans="1:9" ht="15" x14ac:dyDescent="0.3">
      <c r="A58" s="62" t="s">
        <v>46</v>
      </c>
      <c r="B58" s="63">
        <v>3993.149561739001</v>
      </c>
      <c r="C58" s="63">
        <v>6035.777401413171</v>
      </c>
      <c r="D58" s="63">
        <v>5610.7699372921488</v>
      </c>
      <c r="E58" s="63">
        <v>4887.4163299714164</v>
      </c>
      <c r="F58" s="99">
        <v>5769.7386407520107</v>
      </c>
      <c r="G58" s="46">
        <v>5705.2821125323026</v>
      </c>
      <c r="H58" s="46">
        <v>5682.502819456965</v>
      </c>
      <c r="I58" s="104">
        <f t="shared" si="0"/>
        <v>-3.9926672557173415E-3</v>
      </c>
    </row>
    <row r="59" spans="1:9" ht="15" x14ac:dyDescent="0.3">
      <c r="A59" s="65" t="s">
        <v>47</v>
      </c>
      <c r="B59" s="66">
        <v>192.44904312496425</v>
      </c>
      <c r="C59" s="66">
        <v>192.44904312496425</v>
      </c>
      <c r="D59" s="66">
        <v>429.75385174517925</v>
      </c>
      <c r="E59" s="66">
        <v>449.14738002995711</v>
      </c>
      <c r="F59" s="95">
        <v>512.85720946832453</v>
      </c>
      <c r="G59" s="47">
        <v>512.85720946832464</v>
      </c>
      <c r="H59" s="47">
        <v>512.85720946832464</v>
      </c>
      <c r="I59" s="105">
        <f t="shared" si="0"/>
        <v>0</v>
      </c>
    </row>
    <row r="60" spans="1:9" ht="14.4" x14ac:dyDescent="0.3">
      <c r="A60" s="68" t="s">
        <v>48</v>
      </c>
      <c r="B60" s="69">
        <v>129.59888928592707</v>
      </c>
      <c r="C60" s="69">
        <v>129.59888928592707</v>
      </c>
      <c r="D60" s="69">
        <v>269.88280408996394</v>
      </c>
      <c r="E60" s="69">
        <v>286.55286848125468</v>
      </c>
      <c r="F60" s="96">
        <v>375.40042852987398</v>
      </c>
      <c r="G60" s="48">
        <v>375.40042852987398</v>
      </c>
      <c r="H60" s="48">
        <v>375.40042852987398</v>
      </c>
      <c r="I60" s="106">
        <f t="shared" si="0"/>
        <v>0</v>
      </c>
    </row>
    <row r="61" spans="1:9" ht="14.4" x14ac:dyDescent="0.3">
      <c r="A61" s="71" t="s">
        <v>49</v>
      </c>
      <c r="B61" s="72">
        <v>43.096153839037186</v>
      </c>
      <c r="C61" s="72">
        <v>43.096153839037186</v>
      </c>
      <c r="D61" s="72">
        <v>124.42804765521534</v>
      </c>
      <c r="E61" s="72">
        <v>127.16178488203575</v>
      </c>
      <c r="F61" s="97">
        <v>90.610530938450566</v>
      </c>
      <c r="G61" s="48">
        <v>90.61053093845058</v>
      </c>
      <c r="H61" s="48">
        <v>90.61053093845058</v>
      </c>
      <c r="I61" s="106">
        <f t="shared" si="0"/>
        <v>0</v>
      </c>
    </row>
    <row r="62" spans="1:9" ht="14.4" x14ac:dyDescent="0.3">
      <c r="A62" s="68" t="s">
        <v>50</v>
      </c>
      <c r="B62" s="69">
        <v>2.3519999999999999</v>
      </c>
      <c r="C62" s="69">
        <v>2.3519999999999999</v>
      </c>
      <c r="D62" s="69">
        <v>4.7686666666666664</v>
      </c>
      <c r="E62" s="69">
        <v>4.7672844444444431</v>
      </c>
      <c r="F62" s="96">
        <v>5.61</v>
      </c>
      <c r="G62" s="48">
        <v>5.61</v>
      </c>
      <c r="H62" s="48">
        <v>5.61</v>
      </c>
      <c r="I62" s="106">
        <f t="shared" si="0"/>
        <v>0</v>
      </c>
    </row>
    <row r="63" spans="1:9" ht="14.4" x14ac:dyDescent="0.3">
      <c r="A63" s="71" t="s">
        <v>51</v>
      </c>
      <c r="B63" s="72">
        <v>13.551999999999994</v>
      </c>
      <c r="C63" s="72">
        <v>13.551999999999994</v>
      </c>
      <c r="D63" s="72">
        <v>18.246666666666666</v>
      </c>
      <c r="E63" s="72">
        <v>18.241377777777782</v>
      </c>
      <c r="F63" s="97">
        <v>20.349999999999998</v>
      </c>
      <c r="G63" s="48">
        <v>20.350000000000001</v>
      </c>
      <c r="H63" s="48">
        <v>20.350000000000001</v>
      </c>
      <c r="I63" s="106">
        <f t="shared" si="0"/>
        <v>0</v>
      </c>
    </row>
    <row r="64" spans="1:9" ht="14.4" x14ac:dyDescent="0.3">
      <c r="A64" s="68" t="s">
        <v>52</v>
      </c>
      <c r="B64" s="69">
        <v>3.850000000000001</v>
      </c>
      <c r="C64" s="69">
        <v>3.850000000000001</v>
      </c>
      <c r="D64" s="69">
        <v>12.427666666666667</v>
      </c>
      <c r="E64" s="69">
        <v>12.424064444444442</v>
      </c>
      <c r="F64" s="96">
        <v>20.886249999999997</v>
      </c>
      <c r="G64" s="48">
        <v>20.88625</v>
      </c>
      <c r="H64" s="48">
        <v>20.88625</v>
      </c>
      <c r="I64" s="106">
        <f t="shared" si="0"/>
        <v>0</v>
      </c>
    </row>
    <row r="65" spans="1:9" ht="15" x14ac:dyDescent="0.3">
      <c r="A65" s="65" t="s">
        <v>53</v>
      </c>
      <c r="B65" s="66">
        <v>67.200000000000017</v>
      </c>
      <c r="C65" s="66">
        <v>67.200000000000017</v>
      </c>
      <c r="D65" s="66">
        <v>46</v>
      </c>
      <c r="E65" s="66">
        <v>45.986666666666672</v>
      </c>
      <c r="F65" s="95">
        <v>97.325249376523118</v>
      </c>
      <c r="G65" s="47">
        <v>97.307069985777673</v>
      </c>
      <c r="H65" s="47">
        <v>97.397160801161718</v>
      </c>
      <c r="I65" s="105">
        <f t="shared" si="0"/>
        <v>9.2584038751986064E-4</v>
      </c>
    </row>
    <row r="66" spans="1:9" ht="14.4" x14ac:dyDescent="0.3">
      <c r="A66" s="68" t="s">
        <v>54</v>
      </c>
      <c r="B66" s="69">
        <v>67.200000000000017</v>
      </c>
      <c r="C66" s="69">
        <v>67.200000000000017</v>
      </c>
      <c r="D66" s="69">
        <v>46</v>
      </c>
      <c r="E66" s="69">
        <v>45.986666666666672</v>
      </c>
      <c r="F66" s="96">
        <v>97.325249376523118</v>
      </c>
      <c r="G66" s="48">
        <v>97.307069985777673</v>
      </c>
      <c r="H66" s="48">
        <v>97.397160801161718</v>
      </c>
      <c r="I66" s="106">
        <f t="shared" si="0"/>
        <v>9.2584038751986064E-4</v>
      </c>
    </row>
    <row r="67" spans="1:9" ht="15" x14ac:dyDescent="0.3">
      <c r="A67" s="78" t="s">
        <v>55</v>
      </c>
      <c r="B67" s="79">
        <v>4252.798604863965</v>
      </c>
      <c r="C67" s="79">
        <v>6295.426444538135</v>
      </c>
      <c r="D67" s="79">
        <v>6086.5237890373282</v>
      </c>
      <c r="E67" s="79">
        <v>5382.5503766680404</v>
      </c>
      <c r="F67" s="100">
        <v>6379.9210995968588</v>
      </c>
      <c r="G67" s="46">
        <v>6315.4463919864047</v>
      </c>
      <c r="H67" s="46">
        <v>6292.7571897264515</v>
      </c>
      <c r="I67" s="104">
        <f t="shared" si="0"/>
        <v>-3.5926521819175106E-3</v>
      </c>
    </row>
    <row r="68" spans="1:9" ht="15" x14ac:dyDescent="0.3">
      <c r="A68" s="74" t="s">
        <v>63</v>
      </c>
      <c r="B68" s="75">
        <v>268.50564554114857</v>
      </c>
      <c r="C68" s="75">
        <v>404.97547505839759</v>
      </c>
      <c r="D68" s="75">
        <v>681.99535209782039</v>
      </c>
      <c r="E68" s="75">
        <v>771.00916582583125</v>
      </c>
      <c r="F68" s="98">
        <v>1055.506328466299</v>
      </c>
      <c r="G68" s="47">
        <v>1114.9188295440961</v>
      </c>
      <c r="H68" s="47">
        <v>1112.7680795126978</v>
      </c>
      <c r="I68" s="105">
        <f t="shared" si="0"/>
        <v>-1.9290642281803994E-3</v>
      </c>
    </row>
    <row r="69" spans="1:9" ht="14.4" x14ac:dyDescent="0.3">
      <c r="A69" s="71" t="s">
        <v>56</v>
      </c>
      <c r="B69" s="72">
        <v>148.37044663601986</v>
      </c>
      <c r="C69" s="72">
        <v>165.25387962261411</v>
      </c>
      <c r="D69" s="72">
        <v>144.14571201671205</v>
      </c>
      <c r="E69" s="72">
        <v>315.59640893053728</v>
      </c>
      <c r="F69" s="97">
        <v>427.17026720424451</v>
      </c>
      <c r="G69" s="48">
        <v>416.1170232350899</v>
      </c>
      <c r="H69" s="48">
        <v>414.31390522941172</v>
      </c>
      <c r="I69" s="106">
        <f t="shared" si="0"/>
        <v>-4.3331993285443682E-3</v>
      </c>
    </row>
    <row r="70" spans="1:9" ht="14.4" x14ac:dyDescent="0.3">
      <c r="A70" s="68" t="s">
        <v>57</v>
      </c>
      <c r="B70" s="69">
        <v>26.385659822091341</v>
      </c>
      <c r="C70" s="69">
        <v>73.381267409977582</v>
      </c>
      <c r="D70" s="69">
        <v>51.751620993282863</v>
      </c>
      <c r="E70" s="69">
        <v>38.654893542505498</v>
      </c>
      <c r="F70" s="96">
        <v>50.782849607278017</v>
      </c>
      <c r="G70" s="48">
        <v>57.076015581476703</v>
      </c>
      <c r="H70" s="48">
        <v>56.728383555756594</v>
      </c>
      <c r="I70" s="106">
        <f t="shared" si="0"/>
        <v>-6.0906848906413513E-3</v>
      </c>
    </row>
    <row r="71" spans="1:9" ht="14.4" x14ac:dyDescent="0.3">
      <c r="A71" s="71" t="s">
        <v>58</v>
      </c>
      <c r="B71" s="72">
        <v>87.974539083037357</v>
      </c>
      <c r="C71" s="72">
        <v>156.09371344247253</v>
      </c>
      <c r="D71" s="72">
        <v>443.7662795044921</v>
      </c>
      <c r="E71" s="72">
        <v>382.07401677871439</v>
      </c>
      <c r="F71" s="97">
        <v>508.17586790477662</v>
      </c>
      <c r="G71" s="48">
        <v>564.63985322752944</v>
      </c>
      <c r="H71" s="48">
        <v>564.63985322752944</v>
      </c>
      <c r="I71" s="106">
        <f t="shared" si="0"/>
        <v>0</v>
      </c>
    </row>
    <row r="72" spans="1:9" ht="14.4" x14ac:dyDescent="0.3">
      <c r="A72" s="68" t="s">
        <v>59</v>
      </c>
      <c r="B72" s="69">
        <v>5.7749999999999995</v>
      </c>
      <c r="C72" s="69">
        <v>10.246614583333333</v>
      </c>
      <c r="D72" s="69">
        <v>42.331739583333331</v>
      </c>
      <c r="E72" s="69">
        <v>34.683846574074074</v>
      </c>
      <c r="F72" s="96">
        <v>69.377343750000009</v>
      </c>
      <c r="G72" s="49">
        <v>77.0859375</v>
      </c>
      <c r="H72" s="49">
        <v>77.0859375</v>
      </c>
      <c r="I72" s="107">
        <f t="shared" si="0"/>
        <v>0</v>
      </c>
    </row>
    <row r="73" spans="1:9" ht="15" x14ac:dyDescent="0.3">
      <c r="A73" s="81" t="s">
        <v>60</v>
      </c>
      <c r="B73" s="82">
        <v>4521.3042504051136</v>
      </c>
      <c r="C73" s="82">
        <v>6700.4019195965329</v>
      </c>
      <c r="D73" s="82">
        <v>6768.5191411351489</v>
      </c>
      <c r="E73" s="82">
        <v>6153.559542493872</v>
      </c>
      <c r="F73" s="100">
        <v>7435.427428063158</v>
      </c>
      <c r="G73" s="46">
        <v>7430.365221530501</v>
      </c>
      <c r="H73" s="46">
        <v>7405.5252692391496</v>
      </c>
      <c r="I73" s="104">
        <f t="shared" si="0"/>
        <v>-3.3430324823569002E-3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58</v>
      </c>
      <c r="C75" s="86">
        <v>58</v>
      </c>
      <c r="D75" s="86">
        <v>63</v>
      </c>
      <c r="E75" s="86">
        <v>63</v>
      </c>
      <c r="F75" s="86">
        <v>70</v>
      </c>
      <c r="G75" s="108">
        <v>70</v>
      </c>
      <c r="H75" s="108">
        <v>70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5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>
      <c r="A82" s="93"/>
      <c r="B82" s="93"/>
      <c r="C82" s="93"/>
      <c r="D82" s="93"/>
      <c r="E82" s="93"/>
      <c r="F82" s="93"/>
      <c r="G82" s="93"/>
      <c r="H82" s="93"/>
      <c r="I82" s="93"/>
    </row>
    <row r="83" spans="1:9" ht="17.25" hidden="1" customHeight="1" x14ac:dyDescent="0.3">
      <c r="A83" s="124"/>
      <c r="B83" s="124"/>
      <c r="C83" s="124"/>
      <c r="D83" s="124"/>
      <c r="E83" s="124"/>
      <c r="F83" s="124"/>
      <c r="G83" s="124"/>
      <c r="H83" s="93"/>
      <c r="I83" s="93"/>
    </row>
  </sheetData>
  <mergeCells count="5">
    <mergeCell ref="A2:I2"/>
    <mergeCell ref="A3:I3"/>
    <mergeCell ref="A4:I4"/>
    <mergeCell ref="A80:I80"/>
    <mergeCell ref="A83:G83"/>
  </mergeCells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7B7C-EA3E-487A-91C0-2DE5AF66EC65}">
  <dimension ref="A1:T83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124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3384.2698227446408</v>
      </c>
      <c r="C9" s="64">
        <v>5695.4754938222331</v>
      </c>
      <c r="D9" s="63">
        <v>4077.6634722253029</v>
      </c>
      <c r="E9" s="63">
        <v>3522.6672443148705</v>
      </c>
      <c r="F9" s="99">
        <v>4006.7369103400169</v>
      </c>
      <c r="G9" s="46">
        <v>3867.7415038382132</v>
      </c>
      <c r="H9" s="46">
        <v>3849.728277351694</v>
      </c>
      <c r="I9" s="104">
        <f>IFERROR(H9/G9-1,"-")</f>
        <v>-4.6572984437154297E-3</v>
      </c>
    </row>
    <row r="10" spans="1:9" ht="15" x14ac:dyDescent="0.3">
      <c r="A10" s="65" t="s">
        <v>3</v>
      </c>
      <c r="B10" s="66">
        <v>615.76759154107981</v>
      </c>
      <c r="C10" s="66">
        <v>1081.3522849854755</v>
      </c>
      <c r="D10" s="66">
        <v>755.12687983703802</v>
      </c>
      <c r="E10" s="66">
        <v>734.70558194510932</v>
      </c>
      <c r="F10" s="95">
        <v>727.1191254390958</v>
      </c>
      <c r="G10" s="47">
        <v>611.51466087338417</v>
      </c>
      <c r="H10" s="47">
        <v>597.95959817341134</v>
      </c>
      <c r="I10" s="105">
        <f t="shared" ref="I10:I73" si="0">IFERROR(H10/G10-1,"-")</f>
        <v>-2.2166374033638192E-2</v>
      </c>
    </row>
    <row r="11" spans="1:9" ht="14.4" x14ac:dyDescent="0.3">
      <c r="A11" s="68" t="s">
        <v>4</v>
      </c>
      <c r="B11" s="69">
        <v>608.3718734645721</v>
      </c>
      <c r="C11" s="69">
        <v>1070.5713399486885</v>
      </c>
      <c r="D11" s="69">
        <v>701.81190696314127</v>
      </c>
      <c r="E11" s="69">
        <v>694.9606684182055</v>
      </c>
      <c r="F11" s="96">
        <v>693.34682432541763</v>
      </c>
      <c r="G11" s="48">
        <v>580.68618065451847</v>
      </c>
      <c r="H11" s="48">
        <v>567.95288683838692</v>
      </c>
      <c r="I11" s="106">
        <f t="shared" si="0"/>
        <v>-2.1928012479613845E-2</v>
      </c>
    </row>
    <row r="12" spans="1:9" ht="14.4" x14ac:dyDescent="0.3">
      <c r="A12" s="71" t="s">
        <v>5</v>
      </c>
      <c r="B12" s="72">
        <v>7.3957180765077268</v>
      </c>
      <c r="C12" s="72">
        <v>10.780945036787051</v>
      </c>
      <c r="D12" s="72">
        <v>53.314972873896735</v>
      </c>
      <c r="E12" s="72">
        <v>39.744913526903773</v>
      </c>
      <c r="F12" s="97">
        <v>33.772301113678125</v>
      </c>
      <c r="G12" s="48">
        <v>30.828480218865707</v>
      </c>
      <c r="H12" s="48">
        <v>30.006711335024381</v>
      </c>
      <c r="I12" s="106">
        <f t="shared" si="0"/>
        <v>-2.6656159434626958E-2</v>
      </c>
    </row>
    <row r="13" spans="1:9" ht="15" x14ac:dyDescent="0.3">
      <c r="A13" s="74" t="s">
        <v>6</v>
      </c>
      <c r="B13" s="75">
        <v>1339.1474364409191</v>
      </c>
      <c r="C13" s="75">
        <v>2750.7710397696983</v>
      </c>
      <c r="D13" s="75">
        <v>1417.1293422170781</v>
      </c>
      <c r="E13" s="75">
        <v>1200.7086854517552</v>
      </c>
      <c r="F13" s="98">
        <v>1500.9152407186766</v>
      </c>
      <c r="G13" s="47">
        <v>1537.8013293989202</v>
      </c>
      <c r="H13" s="47">
        <v>1537.203708058159</v>
      </c>
      <c r="I13" s="105">
        <f t="shared" si="0"/>
        <v>-3.8862064256039996E-4</v>
      </c>
    </row>
    <row r="14" spans="1:9" ht="14.4" x14ac:dyDescent="0.3">
      <c r="A14" s="71" t="s">
        <v>7</v>
      </c>
      <c r="B14" s="72">
        <v>18.131487324537797</v>
      </c>
      <c r="C14" s="72">
        <v>25.260980645383906</v>
      </c>
      <c r="D14" s="72">
        <v>33.312407395809792</v>
      </c>
      <c r="E14" s="72">
        <v>33.215695019563796</v>
      </c>
      <c r="F14" s="97">
        <v>96.832023849791483</v>
      </c>
      <c r="G14" s="48">
        <v>100.89254340053485</v>
      </c>
      <c r="H14" s="48">
        <v>101.29716804479121</v>
      </c>
      <c r="I14" s="106">
        <f t="shared" si="0"/>
        <v>4.01045142305545E-3</v>
      </c>
    </row>
    <row r="15" spans="1:9" ht="14.4" x14ac:dyDescent="0.3">
      <c r="A15" s="68" t="s">
        <v>8</v>
      </c>
      <c r="B15" s="69">
        <v>1198.6822512403376</v>
      </c>
      <c r="C15" s="69">
        <v>2556.6184108104617</v>
      </c>
      <c r="D15" s="69">
        <v>1352.144919353801</v>
      </c>
      <c r="E15" s="69">
        <v>1125.4942758137825</v>
      </c>
      <c r="F15" s="96">
        <v>1347.8620264493502</v>
      </c>
      <c r="G15" s="48">
        <v>1382.050332994929</v>
      </c>
      <c r="H15" s="48">
        <v>1380.7111569772173</v>
      </c>
      <c r="I15" s="106">
        <f t="shared" si="0"/>
        <v>-9.6897774685933413E-4</v>
      </c>
    </row>
    <row r="16" spans="1:9" ht="14.4" x14ac:dyDescent="0.3">
      <c r="A16" s="71" t="s">
        <v>9</v>
      </c>
      <c r="B16" s="72">
        <v>122.3336978760438</v>
      </c>
      <c r="C16" s="72">
        <v>168.89164831385264</v>
      </c>
      <c r="D16" s="72">
        <v>31.672015467467315</v>
      </c>
      <c r="E16" s="72">
        <v>41.998714618408911</v>
      </c>
      <c r="F16" s="97">
        <v>56.221190419534786</v>
      </c>
      <c r="G16" s="48">
        <v>54.858453003456475</v>
      </c>
      <c r="H16" s="48">
        <v>55.195383036150304</v>
      </c>
      <c r="I16" s="106">
        <f t="shared" si="0"/>
        <v>6.1418070369683164E-3</v>
      </c>
    </row>
    <row r="17" spans="1:9" ht="15" x14ac:dyDescent="0.3">
      <c r="A17" s="74" t="s">
        <v>10</v>
      </c>
      <c r="B17" s="75">
        <v>1237.9390435374107</v>
      </c>
      <c r="C17" s="75">
        <v>1607.4964849067301</v>
      </c>
      <c r="D17" s="75">
        <v>1588.2360070637139</v>
      </c>
      <c r="E17" s="75">
        <v>1325.3093463462549</v>
      </c>
      <c r="F17" s="98">
        <v>1375.8079610567047</v>
      </c>
      <c r="G17" s="47">
        <v>1318.599312276833</v>
      </c>
      <c r="H17" s="47">
        <v>1315.1324657621938</v>
      </c>
      <c r="I17" s="105">
        <f t="shared" si="0"/>
        <v>-2.6291887780928169E-3</v>
      </c>
    </row>
    <row r="18" spans="1:9" ht="14.4" x14ac:dyDescent="0.3">
      <c r="A18" s="71" t="s">
        <v>11</v>
      </c>
      <c r="B18" s="72">
        <v>446.68344408104116</v>
      </c>
      <c r="C18" s="72">
        <v>537.29121102638521</v>
      </c>
      <c r="D18" s="72">
        <v>569.24892208808467</v>
      </c>
      <c r="E18" s="72">
        <v>510.7912114064074</v>
      </c>
      <c r="F18" s="97">
        <v>510.48924583578804</v>
      </c>
      <c r="G18" s="48">
        <v>490.11175588894139</v>
      </c>
      <c r="H18" s="48">
        <v>487.4800470384593</v>
      </c>
      <c r="I18" s="106">
        <f t="shared" si="0"/>
        <v>-5.3696097244368968E-3</v>
      </c>
    </row>
    <row r="19" spans="1:9" ht="14.4" x14ac:dyDescent="0.3">
      <c r="A19" s="68" t="s">
        <v>12</v>
      </c>
      <c r="B19" s="69">
        <v>285.68684855309749</v>
      </c>
      <c r="C19" s="69">
        <v>454.57318736822725</v>
      </c>
      <c r="D19" s="69">
        <v>271.77172486441816</v>
      </c>
      <c r="E19" s="69">
        <v>200.27452636810645</v>
      </c>
      <c r="F19" s="96">
        <v>270.53357043602705</v>
      </c>
      <c r="G19" s="48">
        <v>261.8463853437475</v>
      </c>
      <c r="H19" s="48">
        <v>261.80390578749177</v>
      </c>
      <c r="I19" s="106">
        <f t="shared" si="0"/>
        <v>-1.6223082934663235E-4</v>
      </c>
    </row>
    <row r="20" spans="1:9" ht="14.4" x14ac:dyDescent="0.3">
      <c r="A20" s="71" t="s">
        <v>13</v>
      </c>
      <c r="B20" s="72">
        <v>402.05330905088766</v>
      </c>
      <c r="C20" s="72">
        <v>496.88748346538779</v>
      </c>
      <c r="D20" s="72">
        <v>603.72774066608224</v>
      </c>
      <c r="E20" s="72">
        <v>459.01903685056118</v>
      </c>
      <c r="F20" s="97">
        <v>387.1249132706447</v>
      </c>
      <c r="G20" s="48">
        <v>361.37448791095795</v>
      </c>
      <c r="H20" s="48">
        <v>360.22217980037914</v>
      </c>
      <c r="I20" s="106">
        <f t="shared" si="0"/>
        <v>-3.188681407035987E-3</v>
      </c>
    </row>
    <row r="21" spans="1:9" ht="14.4" x14ac:dyDescent="0.3">
      <c r="A21" s="68" t="s">
        <v>14</v>
      </c>
      <c r="B21" s="69">
        <v>103.51544185238426</v>
      </c>
      <c r="C21" s="69">
        <v>118.74460304672982</v>
      </c>
      <c r="D21" s="69">
        <v>143.48761944512879</v>
      </c>
      <c r="E21" s="69">
        <v>155.22457172117964</v>
      </c>
      <c r="F21" s="96">
        <v>207.660231514245</v>
      </c>
      <c r="G21" s="48">
        <v>205.26668313318618</v>
      </c>
      <c r="H21" s="48">
        <v>205.62633313586375</v>
      </c>
      <c r="I21" s="106">
        <f t="shared" si="0"/>
        <v>1.7521109475140406E-3</v>
      </c>
    </row>
    <row r="22" spans="1:9" ht="15" x14ac:dyDescent="0.3">
      <c r="A22" s="74" t="s">
        <v>129</v>
      </c>
      <c r="B22" s="75">
        <v>121.82037066967592</v>
      </c>
      <c r="C22" s="75">
        <v>186.26030360477432</v>
      </c>
      <c r="D22" s="75">
        <v>224.48958060747285</v>
      </c>
      <c r="E22" s="75">
        <v>169.26196807175114</v>
      </c>
      <c r="F22" s="112">
        <v>153.45794655382014</v>
      </c>
      <c r="G22" s="47">
        <v>152.43720595231272</v>
      </c>
      <c r="H22" s="47">
        <v>152.50005819042161</v>
      </c>
      <c r="I22" s="105">
        <f t="shared" si="0"/>
        <v>4.1231560048760052E-4</v>
      </c>
    </row>
    <row r="23" spans="1:9" ht="14.4" x14ac:dyDescent="0.3">
      <c r="A23" s="71" t="s">
        <v>15</v>
      </c>
      <c r="B23" s="72">
        <v>5.281886253009259</v>
      </c>
      <c r="C23" s="72">
        <v>8.0758721360243069</v>
      </c>
      <c r="D23" s="72">
        <v>10.816632639910758</v>
      </c>
      <c r="E23" s="72">
        <v>10.264094378182985</v>
      </c>
      <c r="F23" s="113">
        <v>17.344956548654565</v>
      </c>
      <c r="G23" s="48">
        <v>17.229584866847368</v>
      </c>
      <c r="H23" s="48">
        <v>17.236688893477893</v>
      </c>
      <c r="I23" s="106">
        <f>IFERROR(H23/G23-1,"-")</f>
        <v>4.1231560048760052E-4</v>
      </c>
    </row>
    <row r="24" spans="1:9" ht="15" x14ac:dyDescent="0.3">
      <c r="A24" s="68" t="s">
        <v>16</v>
      </c>
      <c r="B24" s="69">
        <v>33.320474916666662</v>
      </c>
      <c r="C24" s="69">
        <v>50.946173781249996</v>
      </c>
      <c r="D24" s="69">
        <v>69.402952479442504</v>
      </c>
      <c r="E24" s="69">
        <v>65.857691398810772</v>
      </c>
      <c r="F24" s="112">
        <v>47.470943548831308</v>
      </c>
      <c r="G24" s="48">
        <v>47.155185906035243</v>
      </c>
      <c r="H24" s="48">
        <v>47.174628724828196</v>
      </c>
      <c r="I24" s="106">
        <f t="shared" si="0"/>
        <v>4.1231560048760052E-4</v>
      </c>
    </row>
    <row r="25" spans="1:9" ht="14.4" x14ac:dyDescent="0.3">
      <c r="A25" s="71" t="s">
        <v>17</v>
      </c>
      <c r="B25" s="72">
        <v>15.121905333333331</v>
      </c>
      <c r="C25" s="72">
        <v>23.121015500000002</v>
      </c>
      <c r="D25" s="72">
        <v>16.016065956794424</v>
      </c>
      <c r="E25" s="72">
        <v>26.596375372596654</v>
      </c>
      <c r="F25" s="113">
        <v>29.789623472307209</v>
      </c>
      <c r="G25" s="48">
        <v>29.591474866355824</v>
      </c>
      <c r="H25" s="48">
        <v>29.60367589308466</v>
      </c>
      <c r="I25" s="106">
        <f t="shared" si="0"/>
        <v>4.1231560048760052E-4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68.096104166666677</v>
      </c>
      <c r="C27" s="72">
        <v>104.1172421875</v>
      </c>
      <c r="D27" s="72">
        <v>128.25392953132516</v>
      </c>
      <c r="E27" s="72">
        <v>66.543806922160726</v>
      </c>
      <c r="F27" s="113">
        <v>58.852422984027065</v>
      </c>
      <c r="G27" s="48">
        <v>58.460960313074303</v>
      </c>
      <c r="H27" s="48">
        <v>58.48506467903087</v>
      </c>
      <c r="I27" s="106">
        <f t="shared" si="0"/>
        <v>4.1231560048760052E-4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69.595380555555565</v>
      </c>
      <c r="C31" s="66">
        <v>69.595380555555565</v>
      </c>
      <c r="D31" s="66">
        <v>92.681662499999987</v>
      </c>
      <c r="E31" s="66">
        <v>92.681662499999987</v>
      </c>
      <c r="F31" s="95">
        <v>249.43663657171987</v>
      </c>
      <c r="G31" s="47">
        <v>247.38899533676289</v>
      </c>
      <c r="H31" s="47">
        <v>246.93244716750866</v>
      </c>
      <c r="I31" s="105">
        <f t="shared" si="0"/>
        <v>-1.8454667663481139E-3</v>
      </c>
    </row>
    <row r="32" spans="1:9" ht="14.4" x14ac:dyDescent="0.3">
      <c r="A32" s="68" t="s">
        <v>21</v>
      </c>
      <c r="B32" s="69">
        <v>63.025936111111115</v>
      </c>
      <c r="C32" s="69">
        <v>63.025936111111115</v>
      </c>
      <c r="D32" s="69">
        <v>85.69416249999999</v>
      </c>
      <c r="E32" s="69">
        <v>85.69416249999999</v>
      </c>
      <c r="F32" s="96">
        <v>236.53663657171987</v>
      </c>
      <c r="G32" s="48">
        <v>234.48899533676288</v>
      </c>
      <c r="H32" s="48">
        <v>234.03244716750865</v>
      </c>
      <c r="I32" s="106">
        <f t="shared" si="0"/>
        <v>-1.9469918773739048E-3</v>
      </c>
    </row>
    <row r="33" spans="1:20" ht="14.4" x14ac:dyDescent="0.3">
      <c r="A33" s="71" t="s">
        <v>22</v>
      </c>
      <c r="B33" s="72">
        <v>6.5694444444444438</v>
      </c>
      <c r="C33" s="72">
        <v>6.5694444444444438</v>
      </c>
      <c r="D33" s="72">
        <v>6.987499999999998</v>
      </c>
      <c r="E33" s="72">
        <v>6.987499999999998</v>
      </c>
      <c r="F33" s="97">
        <v>12.900000000000004</v>
      </c>
      <c r="G33" s="48">
        <v>12.9</v>
      </c>
      <c r="H33" s="48">
        <v>12.9</v>
      </c>
      <c r="I33" s="106">
        <f t="shared" si="0"/>
        <v>0</v>
      </c>
    </row>
    <row r="34" spans="1:20" ht="15" x14ac:dyDescent="0.3">
      <c r="A34" s="74" t="s">
        <v>23</v>
      </c>
      <c r="B34" s="75">
        <v>131.34850903499276</v>
      </c>
      <c r="C34" s="75">
        <v>131.34850903499276</v>
      </c>
      <c r="D34" s="75">
        <v>346.42694870129867</v>
      </c>
      <c r="E34" s="75">
        <v>278.4004681818181</v>
      </c>
      <c r="F34" s="98">
        <v>316.6841507936507</v>
      </c>
      <c r="G34" s="47">
        <v>316.68415079365076</v>
      </c>
      <c r="H34" s="47">
        <v>316.68415079365076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129.97350903499276</v>
      </c>
      <c r="C35" s="72">
        <v>129.97350903499276</v>
      </c>
      <c r="D35" s="72">
        <v>342.88094870129868</v>
      </c>
      <c r="E35" s="72">
        <v>274.85446818181811</v>
      </c>
      <c r="F35" s="97">
        <v>284.16415079365072</v>
      </c>
      <c r="G35" s="48">
        <v>284.16415079365078</v>
      </c>
      <c r="H35" s="48">
        <v>284.16415079365078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1.375</v>
      </c>
      <c r="C36" s="69">
        <v>1.375</v>
      </c>
      <c r="D36" s="69">
        <v>3.5459999999999998</v>
      </c>
      <c r="E36" s="69">
        <v>3.5459999999999998</v>
      </c>
      <c r="F36" s="96">
        <v>32.519999999999996</v>
      </c>
      <c r="G36" s="48">
        <v>32.520000000000003</v>
      </c>
      <c r="H36" s="48">
        <v>32.520000000000003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161.41471760555552</v>
      </c>
      <c r="C37" s="66">
        <v>185.20148810555557</v>
      </c>
      <c r="D37" s="66">
        <v>219.43521945000001</v>
      </c>
      <c r="E37" s="66">
        <v>243.93794625994619</v>
      </c>
      <c r="F37" s="95">
        <v>252.70688353429904</v>
      </c>
      <c r="G37" s="47">
        <v>253.06607977436767</v>
      </c>
      <c r="H37" s="47">
        <v>252.93126606195892</v>
      </c>
      <c r="I37" s="105">
        <f t="shared" si="0"/>
        <v>-5.3272138458437812E-4</v>
      </c>
    </row>
    <row r="38" spans="1:20" ht="14.4" x14ac:dyDescent="0.3">
      <c r="A38" s="68" t="s">
        <v>27</v>
      </c>
      <c r="B38" s="69">
        <v>12.350555555555557</v>
      </c>
      <c r="C38" s="69">
        <v>12.350555555555557</v>
      </c>
      <c r="D38" s="69">
        <v>16.447499999999998</v>
      </c>
      <c r="E38" s="69">
        <v>32.837953959946184</v>
      </c>
      <c r="F38" s="96">
        <v>51.475935200965687</v>
      </c>
      <c r="G38" s="48">
        <v>51.568556841034287</v>
      </c>
      <c r="H38" s="48">
        <v>51.433743128625565</v>
      </c>
      <c r="I38" s="106">
        <f t="shared" si="0"/>
        <v>-2.6142618810198748E-3</v>
      </c>
    </row>
    <row r="39" spans="1:20" ht="14.4" x14ac:dyDescent="0.3">
      <c r="A39" s="71" t="s">
        <v>28</v>
      </c>
      <c r="B39" s="72">
        <v>64.152899999999988</v>
      </c>
      <c r="C39" s="72">
        <v>75.399600000000007</v>
      </c>
      <c r="D39" s="72">
        <v>88.521509999999992</v>
      </c>
      <c r="E39" s="72">
        <v>92.357100000000003</v>
      </c>
      <c r="F39" s="97">
        <v>88.828973333333337</v>
      </c>
      <c r="G39" s="48">
        <v>88.955013333333355</v>
      </c>
      <c r="H39" s="48">
        <v>88.955013333333355</v>
      </c>
      <c r="I39" s="106">
        <f t="shared" si="0"/>
        <v>0</v>
      </c>
    </row>
    <row r="40" spans="1:20" ht="14.4" x14ac:dyDescent="0.3">
      <c r="A40" s="68" t="s">
        <v>29</v>
      </c>
      <c r="B40" s="69">
        <v>64.152899999999988</v>
      </c>
      <c r="C40" s="69">
        <v>75.399600000000007</v>
      </c>
      <c r="D40" s="69">
        <v>88.521509999999992</v>
      </c>
      <c r="E40" s="69">
        <v>92.357100000000003</v>
      </c>
      <c r="F40" s="96">
        <v>88.828973333333337</v>
      </c>
      <c r="G40" s="48">
        <v>88.955013333333355</v>
      </c>
      <c r="H40" s="48">
        <v>88.955013333333355</v>
      </c>
      <c r="I40" s="106">
        <f t="shared" si="0"/>
        <v>0</v>
      </c>
    </row>
    <row r="41" spans="1:20" ht="14.4" x14ac:dyDescent="0.3">
      <c r="A41" s="71" t="s">
        <v>30</v>
      </c>
      <c r="B41" s="72">
        <v>9.8305285500000004</v>
      </c>
      <c r="C41" s="72">
        <v>9.8305285500000004</v>
      </c>
      <c r="D41" s="72">
        <v>9.4317257999999988</v>
      </c>
      <c r="E41" s="72">
        <v>9.4317257999999988</v>
      </c>
      <c r="F41" s="97">
        <v>8.0843363999999998</v>
      </c>
      <c r="G41" s="48">
        <v>8.0843363999999998</v>
      </c>
      <c r="H41" s="48">
        <v>8.0843363999999998</v>
      </c>
      <c r="I41" s="106">
        <f t="shared" si="0"/>
        <v>0</v>
      </c>
    </row>
    <row r="42" spans="1:20" ht="14.4" x14ac:dyDescent="0.3">
      <c r="A42" s="68" t="s">
        <v>31</v>
      </c>
      <c r="B42" s="69">
        <v>7.3775834999999992</v>
      </c>
      <c r="C42" s="69">
        <v>8.6709540000000001</v>
      </c>
      <c r="D42" s="69">
        <v>10.179973649999999</v>
      </c>
      <c r="E42" s="69">
        <v>10.621066499999998</v>
      </c>
      <c r="F42" s="96">
        <v>10.215331933333337</v>
      </c>
      <c r="G42" s="48">
        <v>10.229826533333334</v>
      </c>
      <c r="H42" s="48">
        <v>10.229826533333334</v>
      </c>
      <c r="I42" s="106">
        <f t="shared" si="0"/>
        <v>0</v>
      </c>
    </row>
    <row r="43" spans="1:20" ht="14.4" x14ac:dyDescent="0.3">
      <c r="A43" s="71" t="s">
        <v>32</v>
      </c>
      <c r="B43" s="72">
        <v>3.5502499999999988</v>
      </c>
      <c r="C43" s="72">
        <v>3.5502499999999988</v>
      </c>
      <c r="D43" s="72">
        <v>6.3329999999999993</v>
      </c>
      <c r="E43" s="72">
        <v>6.3329999999999993</v>
      </c>
      <c r="F43" s="97">
        <v>5.2733333333333334</v>
      </c>
      <c r="G43" s="48">
        <v>5.2733333333333334</v>
      </c>
      <c r="H43" s="48">
        <v>5.2733333333333334</v>
      </c>
      <c r="I43" s="106">
        <f t="shared" si="0"/>
        <v>0</v>
      </c>
    </row>
    <row r="44" spans="1:20" ht="15" x14ac:dyDescent="0.3">
      <c r="A44" s="74" t="s">
        <v>33</v>
      </c>
      <c r="B44" s="75">
        <v>358.20088151708859</v>
      </c>
      <c r="C44" s="75">
        <v>548.46930793986508</v>
      </c>
      <c r="D44" s="75">
        <v>448.06470077719081</v>
      </c>
      <c r="E44" s="75">
        <v>389.71515651306214</v>
      </c>
      <c r="F44" s="98">
        <v>254.1640560299862</v>
      </c>
      <c r="G44" s="47">
        <v>250.37440365731854</v>
      </c>
      <c r="H44" s="47">
        <v>248.98891576030553</v>
      </c>
      <c r="I44" s="105">
        <f t="shared" si="0"/>
        <v>-5.5336642914556311E-3</v>
      </c>
    </row>
    <row r="45" spans="1:20" ht="14.4" x14ac:dyDescent="0.3">
      <c r="A45" s="71" t="s">
        <v>34</v>
      </c>
      <c r="B45" s="72">
        <v>307.5438581715344</v>
      </c>
      <c r="C45" s="72">
        <v>477.44947055546487</v>
      </c>
      <c r="D45" s="72">
        <v>396.03893077053368</v>
      </c>
      <c r="E45" s="72">
        <v>346.07564836273446</v>
      </c>
      <c r="F45" s="97">
        <v>225.82971102868362</v>
      </c>
      <c r="G45" s="48">
        <v>222.04005865601596</v>
      </c>
      <c r="H45" s="48">
        <v>220.65457075900295</v>
      </c>
      <c r="I45" s="106">
        <f t="shared" si="0"/>
        <v>-6.2398105341856525E-3</v>
      </c>
    </row>
    <row r="46" spans="1:20" ht="14.4" x14ac:dyDescent="0.3">
      <c r="A46" s="68" t="s">
        <v>35</v>
      </c>
      <c r="B46" s="69">
        <v>36.858455143818787</v>
      </c>
      <c r="C46" s="69">
        <v>57.221269182664741</v>
      </c>
      <c r="D46" s="69">
        <v>0</v>
      </c>
      <c r="E46" s="69">
        <v>0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13.79856820173538</v>
      </c>
      <c r="C47" s="72">
        <v>13.79856820173538</v>
      </c>
      <c r="D47" s="72">
        <v>52.025770006657119</v>
      </c>
      <c r="E47" s="72">
        <v>43.639508150327678</v>
      </c>
      <c r="F47" s="97">
        <v>28.33434500130257</v>
      </c>
      <c r="G47" s="48">
        <v>28.334345001302577</v>
      </c>
      <c r="H47" s="48">
        <v>28.334345001302573</v>
      </c>
      <c r="I47" s="106">
        <f t="shared" si="0"/>
        <v>-1.1102230246251565E-16</v>
      </c>
    </row>
    <row r="48" spans="1:20" ht="15" x14ac:dyDescent="0.3">
      <c r="A48" s="74" t="s">
        <v>37</v>
      </c>
      <c r="B48" s="75">
        <v>158.7099999999997</v>
      </c>
      <c r="C48" s="75">
        <v>158.7099999999997</v>
      </c>
      <c r="D48" s="75">
        <v>92.399999999999991</v>
      </c>
      <c r="E48" s="75">
        <v>92.399999999999991</v>
      </c>
      <c r="F48" s="98">
        <v>0</v>
      </c>
      <c r="G48" s="47">
        <v>0</v>
      </c>
      <c r="H48" s="47">
        <v>0</v>
      </c>
      <c r="I48" s="105" t="str">
        <f t="shared" si="0"/>
        <v>-</v>
      </c>
    </row>
    <row r="49" spans="1:9" ht="14.4" x14ac:dyDescent="0.3">
      <c r="A49" s="71" t="s">
        <v>62</v>
      </c>
      <c r="B49" s="72">
        <v>51.68199999999991</v>
      </c>
      <c r="C49" s="72">
        <v>51.68199999999991</v>
      </c>
      <c r="D49" s="72">
        <v>0</v>
      </c>
      <c r="E49" s="72">
        <v>0</v>
      </c>
      <c r="F49" s="97">
        <v>0</v>
      </c>
      <c r="G49" s="48">
        <v>0</v>
      </c>
      <c r="H49" s="48">
        <v>0</v>
      </c>
      <c r="I49" s="106" t="str">
        <f t="shared" si="0"/>
        <v>-</v>
      </c>
    </row>
    <row r="50" spans="1:9" ht="14.4" x14ac:dyDescent="0.3">
      <c r="A50" s="68" t="s">
        <v>38</v>
      </c>
      <c r="B50" s="69">
        <v>65.027999999999793</v>
      </c>
      <c r="C50" s="69">
        <v>65.027999999999793</v>
      </c>
      <c r="D50" s="69">
        <v>0</v>
      </c>
      <c r="E50" s="69">
        <v>0</v>
      </c>
      <c r="F50" s="96">
        <v>0</v>
      </c>
      <c r="G50" s="48">
        <v>0</v>
      </c>
      <c r="H50" s="48">
        <v>0</v>
      </c>
      <c r="I50" s="106" t="str">
        <f t="shared" si="0"/>
        <v>-</v>
      </c>
    </row>
    <row r="51" spans="1:9" ht="14.4" x14ac:dyDescent="0.3">
      <c r="A51" s="71" t="s">
        <v>39</v>
      </c>
      <c r="B51" s="72">
        <v>42</v>
      </c>
      <c r="C51" s="72">
        <v>42</v>
      </c>
      <c r="D51" s="72">
        <v>92.399999999999991</v>
      </c>
      <c r="E51" s="72">
        <v>92.399999999999991</v>
      </c>
      <c r="F51" s="97">
        <v>0</v>
      </c>
      <c r="G51" s="48">
        <v>0</v>
      </c>
      <c r="H51" s="48">
        <v>0</v>
      </c>
      <c r="I51" s="106" t="str">
        <f t="shared" si="0"/>
        <v>-</v>
      </c>
    </row>
    <row r="52" spans="1:9" ht="15" x14ac:dyDescent="0.3">
      <c r="A52" s="74" t="s">
        <v>40</v>
      </c>
      <c r="B52" s="75">
        <v>136.92677520587063</v>
      </c>
      <c r="C52" s="75">
        <v>169.20627656102093</v>
      </c>
      <c r="D52" s="75">
        <v>192.20031458230503</v>
      </c>
      <c r="E52" s="75">
        <v>196.92726292057958</v>
      </c>
      <c r="F52" s="98">
        <v>173.71742456980468</v>
      </c>
      <c r="G52" s="47">
        <v>174.34002601155822</v>
      </c>
      <c r="H52" s="47">
        <v>173.69746710710456</v>
      </c>
      <c r="I52" s="105">
        <f t="shared" si="0"/>
        <v>-3.6856648421692562E-3</v>
      </c>
    </row>
    <row r="53" spans="1:9" ht="14.4" x14ac:dyDescent="0.3">
      <c r="A53" s="71" t="s">
        <v>41</v>
      </c>
      <c r="B53" s="72">
        <v>85.01052437253729</v>
      </c>
      <c r="C53" s="72">
        <v>110.76573093602093</v>
      </c>
      <c r="D53" s="72">
        <v>115.75343660454102</v>
      </c>
      <c r="E53" s="72">
        <v>120.63791498430339</v>
      </c>
      <c r="F53" s="97">
        <v>79.61900518655527</v>
      </c>
      <c r="G53" s="48">
        <v>79.902639516241948</v>
      </c>
      <c r="H53" s="48">
        <v>79.141837910851535</v>
      </c>
      <c r="I53" s="106">
        <f t="shared" si="0"/>
        <v>-9.5216079217979033E-3</v>
      </c>
    </row>
    <row r="54" spans="1:9" ht="14.4" x14ac:dyDescent="0.3">
      <c r="A54" s="68" t="s">
        <v>42</v>
      </c>
      <c r="B54" s="69">
        <v>10.747375833333331</v>
      </c>
      <c r="C54" s="69">
        <v>16.303945625000001</v>
      </c>
      <c r="D54" s="69">
        <v>8.5268779777640216</v>
      </c>
      <c r="E54" s="69">
        <v>8.3693479362762115</v>
      </c>
      <c r="F54" s="96">
        <v>11.059619383249398</v>
      </c>
      <c r="G54" s="48">
        <v>11.022386495316272</v>
      </c>
      <c r="H54" s="48">
        <v>11.029389196253018</v>
      </c>
      <c r="I54" s="106">
        <f t="shared" si="0"/>
        <v>6.3531622119405995E-4</v>
      </c>
    </row>
    <row r="55" spans="1:9" ht="14.4" x14ac:dyDescent="0.3">
      <c r="A55" s="71" t="s">
        <v>43</v>
      </c>
      <c r="B55" s="72">
        <v>41.168875000000007</v>
      </c>
      <c r="C55" s="72">
        <v>42.136599999999994</v>
      </c>
      <c r="D55" s="72">
        <v>67.919999999999987</v>
      </c>
      <c r="E55" s="72">
        <v>67.919999999999987</v>
      </c>
      <c r="F55" s="97">
        <v>83.038799999999995</v>
      </c>
      <c r="G55" s="48">
        <v>83.414999999999992</v>
      </c>
      <c r="H55" s="48">
        <v>83.526239999999987</v>
      </c>
      <c r="I55" s="106">
        <f t="shared" si="0"/>
        <v>1.3335730983634608E-3</v>
      </c>
    </row>
    <row r="56" spans="1:9" s="4" customFormat="1" ht="15" x14ac:dyDescent="0.3">
      <c r="A56" s="74" t="s">
        <v>44</v>
      </c>
      <c r="B56" s="75">
        <v>72.760800398965159</v>
      </c>
      <c r="C56" s="75">
        <v>80.644795945345692</v>
      </c>
      <c r="D56" s="75">
        <v>337.3958009535117</v>
      </c>
      <c r="E56" s="75">
        <v>284.78548554435366</v>
      </c>
      <c r="F56" s="98">
        <v>250.70574852921121</v>
      </c>
      <c r="G56" s="47">
        <v>265.45121482814193</v>
      </c>
      <c r="H56" s="47">
        <v>261.42273669715081</v>
      </c>
      <c r="I56" s="105">
        <f t="shared" si="0"/>
        <v>-1.5175964192136848E-2</v>
      </c>
    </row>
    <row r="57" spans="1:9" ht="14.4" x14ac:dyDescent="0.3">
      <c r="A57" s="71" t="s">
        <v>45</v>
      </c>
      <c r="B57" s="72">
        <v>72.760800398965159</v>
      </c>
      <c r="C57" s="72">
        <v>80.644795945345692</v>
      </c>
      <c r="D57" s="72">
        <v>337.3958009535117</v>
      </c>
      <c r="E57" s="72">
        <v>284.78548554435366</v>
      </c>
      <c r="F57" s="97">
        <v>250.70574852921121</v>
      </c>
      <c r="G57" s="48">
        <v>265.45121482814193</v>
      </c>
      <c r="H57" s="48">
        <v>261.42273669715081</v>
      </c>
      <c r="I57" s="106">
        <f t="shared" si="0"/>
        <v>-1.5175964192136848E-2</v>
      </c>
    </row>
    <row r="58" spans="1:9" ht="15" x14ac:dyDescent="0.3">
      <c r="A58" s="62" t="s">
        <v>46</v>
      </c>
      <c r="B58" s="63">
        <v>4403.631506507113</v>
      </c>
      <c r="C58" s="63">
        <v>6969.055871409013</v>
      </c>
      <c r="D58" s="63">
        <v>5713.5864566896089</v>
      </c>
      <c r="E58" s="63">
        <v>5008.8335637346299</v>
      </c>
      <c r="F58" s="99">
        <v>5254.7151737969689</v>
      </c>
      <c r="G58" s="46">
        <v>5127.65737890325</v>
      </c>
      <c r="H58" s="46">
        <v>5103.4528137718644</v>
      </c>
      <c r="I58" s="104">
        <f t="shared" si="0"/>
        <v>-4.7203943912029755E-3</v>
      </c>
    </row>
    <row r="59" spans="1:9" ht="15" x14ac:dyDescent="0.3">
      <c r="A59" s="65" t="s">
        <v>47</v>
      </c>
      <c r="B59" s="66">
        <v>178.91816074026303</v>
      </c>
      <c r="C59" s="66">
        <v>178.91816074026303</v>
      </c>
      <c r="D59" s="66">
        <v>779.87977956809266</v>
      </c>
      <c r="E59" s="66">
        <v>668.08737484145331</v>
      </c>
      <c r="F59" s="95">
        <v>456.47211836608017</v>
      </c>
      <c r="G59" s="47">
        <v>456.47211836608005</v>
      </c>
      <c r="H59" s="47">
        <v>456.47211836608017</v>
      </c>
      <c r="I59" s="105">
        <f t="shared" si="0"/>
        <v>2.2204460492503131E-16</v>
      </c>
    </row>
    <row r="60" spans="1:9" ht="14.4" x14ac:dyDescent="0.3">
      <c r="A60" s="68" t="s">
        <v>48</v>
      </c>
      <c r="B60" s="69">
        <v>132.31133694056965</v>
      </c>
      <c r="C60" s="69">
        <v>132.31133694056965</v>
      </c>
      <c r="D60" s="69">
        <v>644.20608727609726</v>
      </c>
      <c r="E60" s="69">
        <v>532.3648425006179</v>
      </c>
      <c r="F60" s="96">
        <v>233.04958712901632</v>
      </c>
      <c r="G60" s="48">
        <v>233.04958712901623</v>
      </c>
      <c r="H60" s="48">
        <v>233.04958712901626</v>
      </c>
      <c r="I60" s="106">
        <f t="shared" si="0"/>
        <v>2.2204460492503131E-16</v>
      </c>
    </row>
    <row r="61" spans="1:9" ht="14.4" x14ac:dyDescent="0.3">
      <c r="A61" s="71" t="s">
        <v>49</v>
      </c>
      <c r="B61" s="72">
        <v>31.184823799693351</v>
      </c>
      <c r="C61" s="72">
        <v>31.184823799693351</v>
      </c>
      <c r="D61" s="72">
        <v>98.521692291995336</v>
      </c>
      <c r="E61" s="72">
        <v>98.570532340835385</v>
      </c>
      <c r="F61" s="97">
        <v>74.95253123706388</v>
      </c>
      <c r="G61" s="48">
        <v>74.952531237063866</v>
      </c>
      <c r="H61" s="48">
        <v>74.952531237063866</v>
      </c>
      <c r="I61" s="106">
        <f t="shared" si="0"/>
        <v>0</v>
      </c>
    </row>
    <row r="62" spans="1:9" ht="14.4" x14ac:dyDescent="0.3">
      <c r="A62" s="68" t="s">
        <v>50</v>
      </c>
      <c r="B62" s="69">
        <v>2.86</v>
      </c>
      <c r="C62" s="69">
        <v>2.86</v>
      </c>
      <c r="D62" s="69">
        <v>6.6239999999999961</v>
      </c>
      <c r="E62" s="69">
        <v>6.6239999999999961</v>
      </c>
      <c r="F62" s="96">
        <v>5.7599999999999989</v>
      </c>
      <c r="G62" s="48">
        <v>5.76</v>
      </c>
      <c r="H62" s="48">
        <v>5.76</v>
      </c>
      <c r="I62" s="106">
        <f t="shared" si="0"/>
        <v>0</v>
      </c>
    </row>
    <row r="63" spans="1:9" ht="14.4" x14ac:dyDescent="0.3">
      <c r="A63" s="71" t="s">
        <v>51</v>
      </c>
      <c r="B63" s="72">
        <v>7.0619999999999985</v>
      </c>
      <c r="C63" s="72">
        <v>7.0619999999999985</v>
      </c>
      <c r="D63" s="72">
        <v>16.343999999999998</v>
      </c>
      <c r="E63" s="72">
        <v>16.343999999999998</v>
      </c>
      <c r="F63" s="97">
        <v>12.629999999999997</v>
      </c>
      <c r="G63" s="48">
        <v>12.63</v>
      </c>
      <c r="H63" s="48">
        <v>12.63</v>
      </c>
      <c r="I63" s="106">
        <f t="shared" si="0"/>
        <v>0</v>
      </c>
    </row>
    <row r="64" spans="1:9" ht="14.4" x14ac:dyDescent="0.3">
      <c r="A64" s="68" t="s">
        <v>52</v>
      </c>
      <c r="B64" s="69">
        <v>5.5</v>
      </c>
      <c r="C64" s="69">
        <v>5.5</v>
      </c>
      <c r="D64" s="69">
        <v>14.183999999999999</v>
      </c>
      <c r="E64" s="69">
        <v>14.183999999999999</v>
      </c>
      <c r="F64" s="96">
        <v>130.07999999999998</v>
      </c>
      <c r="G64" s="48">
        <v>130.08000000000001</v>
      </c>
      <c r="H64" s="48">
        <v>130.08000000000001</v>
      </c>
      <c r="I64" s="106">
        <f t="shared" si="0"/>
        <v>0</v>
      </c>
    </row>
    <row r="65" spans="1:9" ht="15" x14ac:dyDescent="0.3">
      <c r="A65" s="65" t="s">
        <v>53</v>
      </c>
      <c r="B65" s="66">
        <v>49.5</v>
      </c>
      <c r="C65" s="66">
        <v>49.5</v>
      </c>
      <c r="D65" s="66">
        <v>90</v>
      </c>
      <c r="E65" s="66">
        <v>90</v>
      </c>
      <c r="F65" s="95">
        <v>72.261364911807121</v>
      </c>
      <c r="G65" s="47">
        <v>75.893967034529894</v>
      </c>
      <c r="H65" s="47">
        <v>75.4985132388708</v>
      </c>
      <c r="I65" s="105">
        <f t="shared" si="0"/>
        <v>-5.2106091051897785E-3</v>
      </c>
    </row>
    <row r="66" spans="1:9" ht="14.4" x14ac:dyDescent="0.3">
      <c r="A66" s="68" t="s">
        <v>54</v>
      </c>
      <c r="B66" s="69">
        <v>49.5</v>
      </c>
      <c r="C66" s="69">
        <v>49.5</v>
      </c>
      <c r="D66" s="69">
        <v>90</v>
      </c>
      <c r="E66" s="69">
        <v>90</v>
      </c>
      <c r="F66" s="96">
        <v>72.261364911807121</v>
      </c>
      <c r="G66" s="48">
        <v>75.893967034529894</v>
      </c>
      <c r="H66" s="48">
        <v>75.4985132388708</v>
      </c>
      <c r="I66" s="106">
        <f t="shared" si="0"/>
        <v>-5.2106091051897785E-3</v>
      </c>
    </row>
    <row r="67" spans="1:9" ht="15" x14ac:dyDescent="0.3">
      <c r="A67" s="78" t="s">
        <v>55</v>
      </c>
      <c r="B67" s="79">
        <v>4632.0496672473764</v>
      </c>
      <c r="C67" s="79">
        <v>7197.4740321492764</v>
      </c>
      <c r="D67" s="79">
        <v>6583.4662362577019</v>
      </c>
      <c r="E67" s="79">
        <v>5766.9209385760832</v>
      </c>
      <c r="F67" s="100">
        <v>5783.4486570748559</v>
      </c>
      <c r="G67" s="46">
        <v>5660.0234643038602</v>
      </c>
      <c r="H67" s="46">
        <v>5635.4234453768149</v>
      </c>
      <c r="I67" s="104">
        <f t="shared" si="0"/>
        <v>-4.3462750785735471E-3</v>
      </c>
    </row>
    <row r="68" spans="1:9" ht="15" x14ac:dyDescent="0.3">
      <c r="A68" s="74" t="s">
        <v>63</v>
      </c>
      <c r="B68" s="75">
        <v>792.68292743414418</v>
      </c>
      <c r="C68" s="75">
        <v>1015.2776043465275</v>
      </c>
      <c r="D68" s="75">
        <v>1624.74363785998</v>
      </c>
      <c r="E68" s="75">
        <v>1258.5049730657831</v>
      </c>
      <c r="F68" s="98">
        <v>1602.2706322846582</v>
      </c>
      <c r="G68" s="47">
        <v>1745.7596517839477</v>
      </c>
      <c r="H68" s="47">
        <v>1735.3539356310921</v>
      </c>
      <c r="I68" s="105">
        <f t="shared" si="0"/>
        <v>-5.9605663025962263E-3</v>
      </c>
    </row>
    <row r="69" spans="1:9" ht="14.4" x14ac:dyDescent="0.3">
      <c r="A69" s="71" t="s">
        <v>56</v>
      </c>
      <c r="B69" s="72">
        <v>654.84720359068649</v>
      </c>
      <c r="C69" s="72">
        <v>725.8031635081112</v>
      </c>
      <c r="D69" s="72">
        <v>787.25686889152712</v>
      </c>
      <c r="E69" s="72">
        <v>664.49946627015868</v>
      </c>
      <c r="F69" s="97">
        <v>584.98007990149279</v>
      </c>
      <c r="G69" s="48">
        <v>619.38616793233109</v>
      </c>
      <c r="H69" s="48">
        <v>609.98638562668521</v>
      </c>
      <c r="I69" s="106">
        <f t="shared" si="0"/>
        <v>-1.5175964192136848E-2</v>
      </c>
    </row>
    <row r="70" spans="1:9" ht="14.4" x14ac:dyDescent="0.3">
      <c r="A70" s="68" t="s">
        <v>57</v>
      </c>
      <c r="B70" s="69">
        <v>44.4524082136478</v>
      </c>
      <c r="C70" s="69">
        <v>123.78390512024663</v>
      </c>
      <c r="D70" s="69">
        <v>138.61642542999928</v>
      </c>
      <c r="E70" s="69">
        <v>99.252818104193466</v>
      </c>
      <c r="F70" s="96">
        <v>165.80625152799735</v>
      </c>
      <c r="G70" s="48">
        <v>180.27981623476319</v>
      </c>
      <c r="H70" s="48">
        <v>179.27388238755353</v>
      </c>
      <c r="I70" s="106">
        <f t="shared" si="0"/>
        <v>-5.5798473074751831E-3</v>
      </c>
    </row>
    <row r="71" spans="1:9" ht="14.4" x14ac:dyDescent="0.3">
      <c r="A71" s="71" t="s">
        <v>58</v>
      </c>
      <c r="B71" s="72">
        <v>85.133315629809843</v>
      </c>
      <c r="C71" s="72">
        <v>151.0525148848362</v>
      </c>
      <c r="D71" s="72">
        <v>652.39546853845366</v>
      </c>
      <c r="E71" s="72">
        <v>456.663188691431</v>
      </c>
      <c r="F71" s="97">
        <v>416.71680085516806</v>
      </c>
      <c r="G71" s="48">
        <v>463.01866761685341</v>
      </c>
      <c r="H71" s="48">
        <v>463.01866761685341</v>
      </c>
      <c r="I71" s="106">
        <f t="shared" si="0"/>
        <v>0</v>
      </c>
    </row>
    <row r="72" spans="1:9" ht="14.4" x14ac:dyDescent="0.3">
      <c r="A72" s="68" t="s">
        <v>59</v>
      </c>
      <c r="B72" s="69">
        <v>8.25</v>
      </c>
      <c r="C72" s="69">
        <v>14.638020833333334</v>
      </c>
      <c r="D72" s="69">
        <v>46.474874999999997</v>
      </c>
      <c r="E72" s="69">
        <v>38.089499999999994</v>
      </c>
      <c r="F72" s="96">
        <v>434.76749999999993</v>
      </c>
      <c r="G72" s="49">
        <v>483.07499999999999</v>
      </c>
      <c r="H72" s="49">
        <v>483.07499999999999</v>
      </c>
      <c r="I72" s="107">
        <f t="shared" si="0"/>
        <v>0</v>
      </c>
    </row>
    <row r="73" spans="1:9" ht="15" x14ac:dyDescent="0.3">
      <c r="A73" s="81" t="s">
        <v>60</v>
      </c>
      <c r="B73" s="82">
        <v>5424.7325946815208</v>
      </c>
      <c r="C73" s="82">
        <v>8212.7516364958046</v>
      </c>
      <c r="D73" s="82">
        <v>8208.2098741176815</v>
      </c>
      <c r="E73" s="82">
        <v>7025.4259116418662</v>
      </c>
      <c r="F73" s="100">
        <v>7385.7192893595138</v>
      </c>
      <c r="G73" s="46">
        <v>7405.7831160878077</v>
      </c>
      <c r="H73" s="46">
        <v>7370.777381007907</v>
      </c>
      <c r="I73" s="104">
        <f t="shared" si="0"/>
        <v>-4.72681072766723E-3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60</v>
      </c>
      <c r="C75" s="86">
        <v>60</v>
      </c>
      <c r="D75" s="86">
        <v>66</v>
      </c>
      <c r="E75" s="86">
        <v>66</v>
      </c>
      <c r="F75" s="86">
        <v>62</v>
      </c>
      <c r="G75" s="108">
        <v>62</v>
      </c>
      <c r="H75" s="108">
        <v>62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/>
    <row r="83" spans="1:9" ht="37.950000000000003" hidden="1" customHeight="1" x14ac:dyDescent="0.3">
      <c r="A83" s="125"/>
      <c r="B83" s="125"/>
      <c r="C83" s="125"/>
      <c r="D83" s="125"/>
      <c r="E83" s="125"/>
      <c r="F83" s="125"/>
      <c r="G83" s="125"/>
    </row>
  </sheetData>
  <mergeCells count="5">
    <mergeCell ref="A2:I2"/>
    <mergeCell ref="A3:I3"/>
    <mergeCell ref="A4:I4"/>
    <mergeCell ref="A80:I80"/>
    <mergeCell ref="A83:G8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F375-17E3-4B51-A606-FF30427EB962}">
  <dimension ref="A1:T84"/>
  <sheetViews>
    <sheetView showGridLines="0" zoomScale="115" zoomScaleNormal="115" workbookViewId="0">
      <selection activeCell="A3" sqref="A3:I3"/>
    </sheetView>
  </sheetViews>
  <sheetFormatPr defaultColWidth="0" defaultRowHeight="14.7" customHeight="1" zeroHeight="1" x14ac:dyDescent="0.3"/>
  <cols>
    <col min="1" max="1" width="56.5546875" customWidth="1"/>
    <col min="2" max="6" width="13.88671875" bestFit="1" customWidth="1"/>
    <col min="7" max="7" width="13" bestFit="1" customWidth="1"/>
    <col min="8" max="8" width="12" bestFit="1" customWidth="1"/>
    <col min="9" max="9" width="17.5546875" bestFit="1" customWidth="1"/>
    <col min="10" max="12" width="8.6640625" hidden="1" customWidth="1"/>
    <col min="13" max="20" width="0" hidden="1" customWidth="1"/>
    <col min="21" max="16384" width="8.6640625" hidden="1"/>
  </cols>
  <sheetData>
    <row r="1" spans="1:9" ht="1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19.95" customHeight="1" x14ac:dyDescent="0.3">
      <c r="A2" s="120" t="s">
        <v>142</v>
      </c>
      <c r="B2" s="122"/>
      <c r="C2" s="122"/>
      <c r="D2" s="122"/>
      <c r="E2" s="122"/>
      <c r="F2" s="122"/>
      <c r="G2" s="122"/>
      <c r="H2" s="122"/>
      <c r="I2" s="122"/>
    </row>
    <row r="3" spans="1:9" ht="21" customHeight="1" x14ac:dyDescent="0.3">
      <c r="A3" s="122" t="s">
        <v>69</v>
      </c>
      <c r="B3" s="122"/>
      <c r="C3" s="122"/>
      <c r="D3" s="122"/>
      <c r="E3" s="122"/>
      <c r="F3" s="122"/>
      <c r="G3" s="122"/>
      <c r="H3" s="122"/>
      <c r="I3" s="122"/>
    </row>
    <row r="4" spans="1:9" ht="16.2" customHeight="1" x14ac:dyDescent="0.3">
      <c r="A4" s="122" t="s">
        <v>123</v>
      </c>
      <c r="B4" s="122"/>
      <c r="C4" s="122"/>
      <c r="D4" s="122"/>
      <c r="E4" s="122"/>
      <c r="F4" s="122"/>
      <c r="G4" s="122"/>
      <c r="H4" s="122"/>
      <c r="I4" s="122"/>
    </row>
    <row r="5" spans="1:9" ht="11.7" customHeight="1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ht="15" x14ac:dyDescent="0.3">
      <c r="A6" s="57" t="s">
        <v>2</v>
      </c>
      <c r="B6" s="58" t="s">
        <v>72</v>
      </c>
      <c r="C6" s="58" t="s">
        <v>73</v>
      </c>
      <c r="D6" s="58" t="s">
        <v>74</v>
      </c>
      <c r="E6" s="58" t="s">
        <v>135</v>
      </c>
      <c r="F6" s="59" t="s">
        <v>132</v>
      </c>
      <c r="G6" s="42" t="s">
        <v>140</v>
      </c>
      <c r="H6" s="42" t="s">
        <v>140</v>
      </c>
      <c r="I6" s="43" t="s">
        <v>65</v>
      </c>
    </row>
    <row r="7" spans="1:9" ht="15" x14ac:dyDescent="0.3">
      <c r="A7" s="57" t="s">
        <v>0</v>
      </c>
      <c r="B7" s="58">
        <v>2021</v>
      </c>
      <c r="C7" s="58">
        <v>2022</v>
      </c>
      <c r="D7" s="58">
        <v>2023</v>
      </c>
      <c r="E7" s="58">
        <v>2024</v>
      </c>
      <c r="F7" s="59">
        <v>2025</v>
      </c>
      <c r="G7" s="44">
        <v>2026</v>
      </c>
      <c r="H7" s="44">
        <v>2026</v>
      </c>
      <c r="I7" s="12" t="s">
        <v>146</v>
      </c>
    </row>
    <row r="8" spans="1:9" ht="15" x14ac:dyDescent="0.3">
      <c r="A8" s="60" t="s">
        <v>1</v>
      </c>
      <c r="B8" s="61" t="s">
        <v>64</v>
      </c>
      <c r="C8" s="61" t="s">
        <v>64</v>
      </c>
      <c r="D8" s="61" t="s">
        <v>64</v>
      </c>
      <c r="E8" s="61" t="s">
        <v>64</v>
      </c>
      <c r="F8" s="111" t="s">
        <v>64</v>
      </c>
      <c r="G8" s="45" t="s">
        <v>144</v>
      </c>
      <c r="H8" s="45" t="s">
        <v>147</v>
      </c>
      <c r="I8" s="12" t="s">
        <v>145</v>
      </c>
    </row>
    <row r="9" spans="1:9" ht="15" x14ac:dyDescent="0.3">
      <c r="A9" s="62" t="s">
        <v>128</v>
      </c>
      <c r="B9" s="63">
        <v>3089.2020146721406</v>
      </c>
      <c r="C9" s="64">
        <v>5273.3635485967916</v>
      </c>
      <c r="D9" s="63">
        <v>4329.1764124598758</v>
      </c>
      <c r="E9" s="63">
        <v>3577.7278311524246</v>
      </c>
      <c r="F9" s="99">
        <v>3712.4523136106741</v>
      </c>
      <c r="G9" s="46">
        <v>4514.00727446981</v>
      </c>
      <c r="H9" s="46">
        <v>4485.9544128238203</v>
      </c>
      <c r="I9" s="104">
        <f>IFERROR(H9/G9-1,"-")</f>
        <v>-6.2146248200906085E-3</v>
      </c>
    </row>
    <row r="10" spans="1:9" ht="15" x14ac:dyDescent="0.3">
      <c r="A10" s="65" t="s">
        <v>3</v>
      </c>
      <c r="B10" s="66">
        <v>520.93051037082682</v>
      </c>
      <c r="C10" s="66">
        <v>923.78163733306224</v>
      </c>
      <c r="D10" s="66">
        <v>825.47821185161081</v>
      </c>
      <c r="E10" s="66">
        <v>635.0258054202053</v>
      </c>
      <c r="F10" s="95">
        <v>560.18965434440747</v>
      </c>
      <c r="G10" s="47">
        <v>501.14668525387725</v>
      </c>
      <c r="H10" s="47">
        <v>485.57229532988754</v>
      </c>
      <c r="I10" s="105">
        <f t="shared" ref="I10:I73" si="0">IFERROR(H10/G10-1,"-")</f>
        <v>-3.1077507608575416E-2</v>
      </c>
    </row>
    <row r="11" spans="1:9" ht="14.4" x14ac:dyDescent="0.3">
      <c r="A11" s="68" t="s">
        <v>4</v>
      </c>
      <c r="B11" s="69">
        <v>463.04923529082686</v>
      </c>
      <c r="C11" s="69">
        <v>831.41496779006013</v>
      </c>
      <c r="D11" s="69">
        <v>765.73878474640946</v>
      </c>
      <c r="E11" s="69">
        <v>620.12146284761639</v>
      </c>
      <c r="F11" s="96">
        <v>543.64487929047141</v>
      </c>
      <c r="G11" s="48">
        <v>470.42385382973686</v>
      </c>
      <c r="H11" s="48">
        <v>455.88467474412198</v>
      </c>
      <c r="I11" s="106">
        <f t="shared" si="0"/>
        <v>-3.0906551543360083E-2</v>
      </c>
    </row>
    <row r="12" spans="1:9" ht="14.4" x14ac:dyDescent="0.3">
      <c r="A12" s="71" t="s">
        <v>5</v>
      </c>
      <c r="B12" s="72">
        <v>57.881275080000009</v>
      </c>
      <c r="C12" s="72">
        <v>92.36666954300216</v>
      </c>
      <c r="D12" s="72">
        <v>59.739427105201294</v>
      </c>
      <c r="E12" s="72">
        <v>14.904342572588913</v>
      </c>
      <c r="F12" s="97">
        <v>16.544775053936007</v>
      </c>
      <c r="G12" s="48">
        <v>30.722831424140384</v>
      </c>
      <c r="H12" s="48">
        <v>29.687620585765568</v>
      </c>
      <c r="I12" s="106">
        <f t="shared" si="0"/>
        <v>-3.3695163837060949E-2</v>
      </c>
    </row>
    <row r="13" spans="1:9" ht="15" x14ac:dyDescent="0.3">
      <c r="A13" s="74" t="s">
        <v>6</v>
      </c>
      <c r="B13" s="75">
        <v>1267.4626486727598</v>
      </c>
      <c r="C13" s="75">
        <v>2619.6161294429821</v>
      </c>
      <c r="D13" s="75">
        <v>1691.2271399249685</v>
      </c>
      <c r="E13" s="75">
        <v>1334.0456979076816</v>
      </c>
      <c r="F13" s="98">
        <v>1579.7155285873034</v>
      </c>
      <c r="G13" s="47">
        <v>2210.4520452456486</v>
      </c>
      <c r="H13" s="47">
        <v>2199.1763368109905</v>
      </c>
      <c r="I13" s="105">
        <f t="shared" si="0"/>
        <v>-5.1010871097205701E-3</v>
      </c>
    </row>
    <row r="14" spans="1:9" ht="14.4" x14ac:dyDescent="0.3">
      <c r="A14" s="71" t="s">
        <v>7</v>
      </c>
      <c r="B14" s="72">
        <v>43.900176885774833</v>
      </c>
      <c r="C14" s="72">
        <v>61.162192532308318</v>
      </c>
      <c r="D14" s="72">
        <v>69.867222444811759</v>
      </c>
      <c r="E14" s="72">
        <v>219.22358712912106</v>
      </c>
      <c r="F14" s="97">
        <v>217.87205366203082</v>
      </c>
      <c r="G14" s="48">
        <v>327.90076605173817</v>
      </c>
      <c r="H14" s="48">
        <v>329.2157961455714</v>
      </c>
      <c r="I14" s="106">
        <f t="shared" si="0"/>
        <v>4.010451423055672E-3</v>
      </c>
    </row>
    <row r="15" spans="1:9" ht="14.4" x14ac:dyDescent="0.3">
      <c r="A15" s="68" t="s">
        <v>8</v>
      </c>
      <c r="B15" s="69">
        <v>1163.9499831654825</v>
      </c>
      <c r="C15" s="69">
        <v>2488.0089763162068</v>
      </c>
      <c r="D15" s="69">
        <v>1352.144919353801</v>
      </c>
      <c r="E15" s="69">
        <v>1010.1705459719552</v>
      </c>
      <c r="F15" s="96">
        <v>1220.4390685920823</v>
      </c>
      <c r="G15" s="48">
        <v>1339.2213209041206</v>
      </c>
      <c r="H15" s="48">
        <v>1337.4926943025694</v>
      </c>
      <c r="I15" s="106">
        <f t="shared" si="0"/>
        <v>-1.2907699232149739E-3</v>
      </c>
    </row>
    <row r="16" spans="1:9" ht="14.4" x14ac:dyDescent="0.3">
      <c r="A16" s="71" t="s">
        <v>9</v>
      </c>
      <c r="B16" s="72">
        <v>59.612488621502521</v>
      </c>
      <c r="C16" s="72">
        <v>70.444960594467005</v>
      </c>
      <c r="D16" s="72">
        <v>269.21499812635574</v>
      </c>
      <c r="E16" s="72">
        <v>104.65156480660542</v>
      </c>
      <c r="F16" s="97">
        <v>141.40440633319031</v>
      </c>
      <c r="G16" s="48">
        <v>543.32995828978972</v>
      </c>
      <c r="H16" s="48">
        <v>532.46784636284951</v>
      </c>
      <c r="I16" s="106">
        <f t="shared" si="0"/>
        <v>-1.9991741226878523E-2</v>
      </c>
    </row>
    <row r="17" spans="1:9" ht="15" x14ac:dyDescent="0.3">
      <c r="A17" s="74" t="s">
        <v>10</v>
      </c>
      <c r="B17" s="75">
        <v>1072.430537318839</v>
      </c>
      <c r="C17" s="75">
        <v>1431.8216475797337</v>
      </c>
      <c r="D17" s="75">
        <v>1490.8459809770488</v>
      </c>
      <c r="E17" s="75">
        <v>1207.6031475821244</v>
      </c>
      <c r="F17" s="98">
        <v>1129.2652735021807</v>
      </c>
      <c r="G17" s="47">
        <v>1304.2194392104957</v>
      </c>
      <c r="H17" s="47">
        <v>1301.1009737675352</v>
      </c>
      <c r="I17" s="105">
        <f t="shared" si="0"/>
        <v>-2.3910588580463576E-3</v>
      </c>
    </row>
    <row r="18" spans="1:9" ht="14.4" x14ac:dyDescent="0.3">
      <c r="A18" s="71" t="s">
        <v>11</v>
      </c>
      <c r="B18" s="72">
        <v>414.42018260477073</v>
      </c>
      <c r="C18" s="72">
        <v>502.62645663206729</v>
      </c>
      <c r="D18" s="72">
        <v>552.56422080519496</v>
      </c>
      <c r="E18" s="72">
        <v>447.47431482978755</v>
      </c>
      <c r="F18" s="97">
        <v>433.34066141277003</v>
      </c>
      <c r="G18" s="48">
        <v>597.63853403390078</v>
      </c>
      <c r="H18" s="48">
        <v>595.6012243642009</v>
      </c>
      <c r="I18" s="106">
        <f t="shared" si="0"/>
        <v>-3.408932914597318E-3</v>
      </c>
    </row>
    <row r="19" spans="1:9" ht="14.4" x14ac:dyDescent="0.3">
      <c r="A19" s="68" t="s">
        <v>12</v>
      </c>
      <c r="B19" s="69">
        <v>205.18415071437511</v>
      </c>
      <c r="C19" s="69">
        <v>370.87850943287032</v>
      </c>
      <c r="D19" s="69">
        <v>337.0909708730361</v>
      </c>
      <c r="E19" s="69">
        <v>328.54462305160661</v>
      </c>
      <c r="F19" s="96">
        <v>200.75547073554125</v>
      </c>
      <c r="G19" s="48">
        <v>353.40407208269494</v>
      </c>
      <c r="H19" s="48">
        <v>353.86083402724233</v>
      </c>
      <c r="I19" s="106">
        <f t="shared" si="0"/>
        <v>1.2924637281499507E-3</v>
      </c>
    </row>
    <row r="20" spans="1:9" ht="14.4" x14ac:dyDescent="0.3">
      <c r="A20" s="71" t="s">
        <v>13</v>
      </c>
      <c r="B20" s="72">
        <v>414.06277117121681</v>
      </c>
      <c r="C20" s="72">
        <v>511.07782815625166</v>
      </c>
      <c r="D20" s="72">
        <v>539.65159931238168</v>
      </c>
      <c r="E20" s="72">
        <v>378.39445503180679</v>
      </c>
      <c r="F20" s="97">
        <v>256.82153600223859</v>
      </c>
      <c r="G20" s="48">
        <v>213.60088893604595</v>
      </c>
      <c r="H20" s="48">
        <v>211.78078680636656</v>
      </c>
      <c r="I20" s="106">
        <f t="shared" si="0"/>
        <v>-8.5210419242418567E-3</v>
      </c>
    </row>
    <row r="21" spans="1:9" ht="14.4" x14ac:dyDescent="0.3">
      <c r="A21" s="68" t="s">
        <v>14</v>
      </c>
      <c r="B21" s="69">
        <v>38.763432828476326</v>
      </c>
      <c r="C21" s="69">
        <v>47.238853358544389</v>
      </c>
      <c r="D21" s="69">
        <v>61.539189986436213</v>
      </c>
      <c r="E21" s="69">
        <v>53.18975466892347</v>
      </c>
      <c r="F21" s="96">
        <v>238.34760535163093</v>
      </c>
      <c r="G21" s="48">
        <v>139.57594415785408</v>
      </c>
      <c r="H21" s="48">
        <v>139.85812856972527</v>
      </c>
      <c r="I21" s="106">
        <f t="shared" si="0"/>
        <v>2.0217266920441457E-3</v>
      </c>
    </row>
    <row r="22" spans="1:9" ht="15" x14ac:dyDescent="0.3">
      <c r="A22" s="74" t="s">
        <v>129</v>
      </c>
      <c r="B22" s="75">
        <v>131.88867786971474</v>
      </c>
      <c r="C22" s="75">
        <v>201.65449380101361</v>
      </c>
      <c r="D22" s="75">
        <v>196.38282744525938</v>
      </c>
      <c r="E22" s="75">
        <v>215.92754558755502</v>
      </c>
      <c r="F22" s="112">
        <v>30.222762528870707</v>
      </c>
      <c r="G22" s="47">
        <v>210.54636963926501</v>
      </c>
      <c r="H22" s="47">
        <v>210.63318119209299</v>
      </c>
      <c r="I22" s="105">
        <f t="shared" si="0"/>
        <v>4.1231560048604621E-4</v>
      </c>
    </row>
    <row r="23" spans="1:9" ht="14.4" x14ac:dyDescent="0.3">
      <c r="A23" s="71" t="s">
        <v>15</v>
      </c>
      <c r="B23" s="72">
        <v>10.565199836645963</v>
      </c>
      <c r="C23" s="72">
        <v>16.153926624922356</v>
      </c>
      <c r="D23" s="72">
        <v>12.410786371416862</v>
      </c>
      <c r="E23" s="72">
        <v>24.683710865723821</v>
      </c>
      <c r="F23" s="113">
        <v>59.048674688760002</v>
      </c>
      <c r="G23" s="48">
        <v>34.818788351862253</v>
      </c>
      <c r="H23" s="48">
        <v>34.833144681489799</v>
      </c>
      <c r="I23" s="106">
        <f>IFERROR(H23/G23-1,"-")</f>
        <v>4.1231560048760052E-4</v>
      </c>
    </row>
    <row r="24" spans="1:9" ht="15" x14ac:dyDescent="0.3">
      <c r="A24" s="68" t="s">
        <v>16</v>
      </c>
      <c r="B24" s="69">
        <v>48.172027037037033</v>
      </c>
      <c r="C24" s="69">
        <v>73.653825972222208</v>
      </c>
      <c r="D24" s="69">
        <v>73.406968968641095</v>
      </c>
      <c r="E24" s="69">
        <v>66.047850128741189</v>
      </c>
      <c r="F24" s="112">
        <v>29.809017758421998</v>
      </c>
      <c r="G24" s="48">
        <v>58.655906630320729</v>
      </c>
      <c r="H24" s="48">
        <v>58.680091375685151</v>
      </c>
      <c r="I24" s="106">
        <f t="shared" si="0"/>
        <v>4.1231560048760052E-4</v>
      </c>
    </row>
    <row r="25" spans="1:9" ht="14.4" x14ac:dyDescent="0.3">
      <c r="A25" s="71" t="s">
        <v>17</v>
      </c>
      <c r="B25" s="72">
        <v>20.477580138888886</v>
      </c>
      <c r="C25" s="72">
        <v>31.309708489583333</v>
      </c>
      <c r="D25" s="72">
        <v>30.297966041849772</v>
      </c>
      <c r="E25" s="72">
        <v>38.682993481061693</v>
      </c>
      <c r="F25" s="113"/>
      <c r="G25" s="48">
        <v>40.842400206168186</v>
      </c>
      <c r="H25" s="48">
        <v>40.859240164934548</v>
      </c>
      <c r="I25" s="106">
        <f t="shared" si="0"/>
        <v>4.1231560048760052E-4</v>
      </c>
    </row>
    <row r="26" spans="1:9" ht="14.4" x14ac:dyDescent="0.3">
      <c r="A26" s="68" t="s">
        <v>61</v>
      </c>
      <c r="B26" s="69">
        <v>0</v>
      </c>
      <c r="C26" s="69">
        <v>0</v>
      </c>
      <c r="D26" s="69">
        <v>0</v>
      </c>
      <c r="E26" s="69">
        <v>0</v>
      </c>
      <c r="F26" s="114">
        <v>0</v>
      </c>
      <c r="G26" s="48">
        <v>0</v>
      </c>
      <c r="H26" s="48">
        <v>0</v>
      </c>
      <c r="I26" s="106" t="str">
        <f t="shared" si="0"/>
        <v>-</v>
      </c>
    </row>
    <row r="27" spans="1:9" ht="14.4" x14ac:dyDescent="0.3">
      <c r="A27" s="71" t="s">
        <v>18</v>
      </c>
      <c r="B27" s="72">
        <v>52.673870857142852</v>
      </c>
      <c r="C27" s="72">
        <v>80.537032714285715</v>
      </c>
      <c r="D27" s="72">
        <v>80.267106063351648</v>
      </c>
      <c r="E27" s="72">
        <v>86.512991112028303</v>
      </c>
      <c r="F27" s="113">
        <v>76.739716209337274</v>
      </c>
      <c r="G27" s="48">
        <v>76.229274450913522</v>
      </c>
      <c r="H27" s="48">
        <v>76.260704969983479</v>
      </c>
      <c r="I27" s="106">
        <f t="shared" si="0"/>
        <v>4.1231560048760052E-4</v>
      </c>
    </row>
    <row r="28" spans="1:9" ht="14.4" x14ac:dyDescent="0.3">
      <c r="A28" s="68" t="s">
        <v>19</v>
      </c>
      <c r="B28" s="69">
        <v>0</v>
      </c>
      <c r="C28" s="69">
        <v>0</v>
      </c>
      <c r="D28" s="69">
        <v>0</v>
      </c>
      <c r="E28" s="69">
        <v>0</v>
      </c>
      <c r="F28" s="96">
        <v>0</v>
      </c>
      <c r="G28" s="48"/>
      <c r="H28" s="48">
        <v>0</v>
      </c>
      <c r="I28" s="106" t="str">
        <f t="shared" si="0"/>
        <v>-</v>
      </c>
    </row>
    <row r="29" spans="1:9" ht="15" x14ac:dyDescent="0.3">
      <c r="A29" s="65" t="s">
        <v>130</v>
      </c>
      <c r="B29" s="66">
        <v>0</v>
      </c>
      <c r="C29" s="66">
        <v>0</v>
      </c>
      <c r="D29" s="66">
        <v>0</v>
      </c>
      <c r="E29" s="66">
        <v>0</v>
      </c>
      <c r="F29" s="95">
        <v>0</v>
      </c>
      <c r="G29" s="47">
        <v>0</v>
      </c>
      <c r="H29" s="47">
        <v>0</v>
      </c>
      <c r="I29" s="105" t="str">
        <f t="shared" si="0"/>
        <v>-</v>
      </c>
    </row>
    <row r="30" spans="1:9" ht="14.4" x14ac:dyDescent="0.3">
      <c r="A30" s="68" t="s">
        <v>20</v>
      </c>
      <c r="B30" s="69">
        <v>0</v>
      </c>
      <c r="C30" s="69">
        <v>0</v>
      </c>
      <c r="D30" s="69">
        <v>0</v>
      </c>
      <c r="E30" s="69">
        <v>0</v>
      </c>
      <c r="F30" s="96">
        <v>0</v>
      </c>
      <c r="G30" s="48">
        <v>0</v>
      </c>
      <c r="H30" s="48">
        <v>0</v>
      </c>
      <c r="I30" s="106" t="str">
        <f t="shared" si="0"/>
        <v>-</v>
      </c>
    </row>
    <row r="31" spans="1:9" ht="15" x14ac:dyDescent="0.3">
      <c r="A31" s="65" t="s">
        <v>131</v>
      </c>
      <c r="B31" s="66">
        <v>96.489640439999974</v>
      </c>
      <c r="C31" s="66">
        <v>96.489640439999974</v>
      </c>
      <c r="D31" s="66">
        <v>125.24225226098831</v>
      </c>
      <c r="E31" s="66">
        <v>185.12563465485846</v>
      </c>
      <c r="F31" s="95">
        <v>247.46168599139253</v>
      </c>
      <c r="G31" s="47">
        <v>287.64273512052358</v>
      </c>
      <c r="H31" s="47">
        <v>289.47162572331473</v>
      </c>
      <c r="I31" s="105">
        <f t="shared" si="0"/>
        <v>6.3582019619750074E-3</v>
      </c>
    </row>
    <row r="32" spans="1:9" ht="14.4" x14ac:dyDescent="0.3">
      <c r="A32" s="68" t="s">
        <v>21</v>
      </c>
      <c r="B32" s="69">
        <v>92.027440439999978</v>
      </c>
      <c r="C32" s="69">
        <v>92.027440439999978</v>
      </c>
      <c r="D32" s="69">
        <v>104.61162849061795</v>
      </c>
      <c r="E32" s="69">
        <v>175.21598437152514</v>
      </c>
      <c r="F32" s="96">
        <v>219.67006932472586</v>
      </c>
      <c r="G32" s="48">
        <v>273.25828703024581</v>
      </c>
      <c r="H32" s="48">
        <v>274.94321667887027</v>
      </c>
      <c r="I32" s="106">
        <f t="shared" si="0"/>
        <v>6.1660697171754819E-3</v>
      </c>
    </row>
    <row r="33" spans="1:20" ht="14.4" x14ac:dyDescent="0.3">
      <c r="A33" s="71" t="s">
        <v>22</v>
      </c>
      <c r="B33" s="72">
        <v>4.4622000000000011</v>
      </c>
      <c r="C33" s="72">
        <v>4.4622000000000011</v>
      </c>
      <c r="D33" s="72">
        <v>20.630623770370367</v>
      </c>
      <c r="E33" s="72">
        <v>9.9096502833333329</v>
      </c>
      <c r="F33" s="97">
        <v>27.791616666666656</v>
      </c>
      <c r="G33" s="48">
        <v>14.384448090277777</v>
      </c>
      <c r="H33" s="48">
        <v>14.528409044444444</v>
      </c>
      <c r="I33" s="106">
        <f t="shared" si="0"/>
        <v>1.0008097165991936E-2</v>
      </c>
    </row>
    <row r="34" spans="1:20" ht="15" x14ac:dyDescent="0.3">
      <c r="A34" s="74" t="s">
        <v>23</v>
      </c>
      <c r="B34" s="75">
        <v>93.238874440953182</v>
      </c>
      <c r="C34" s="75">
        <v>93.238874440953182</v>
      </c>
      <c r="D34" s="75">
        <v>200.91584499865186</v>
      </c>
      <c r="E34" s="75">
        <v>365.21339596741393</v>
      </c>
      <c r="F34" s="98">
        <v>304.38279558403462</v>
      </c>
      <c r="G34" s="47">
        <v>370.81047773735531</v>
      </c>
      <c r="H34" s="47">
        <v>370.81047773735531</v>
      </c>
      <c r="I34" s="105">
        <f t="shared" si="0"/>
        <v>0</v>
      </c>
      <c r="T34" s="1"/>
    </row>
    <row r="35" spans="1:20" ht="14.4" x14ac:dyDescent="0.3">
      <c r="A35" s="71" t="s">
        <v>24</v>
      </c>
      <c r="B35" s="72">
        <v>88.67633044095318</v>
      </c>
      <c r="C35" s="72">
        <v>88.67633044095318</v>
      </c>
      <c r="D35" s="72">
        <v>197.81784703805465</v>
      </c>
      <c r="E35" s="72">
        <v>350.39222060449725</v>
      </c>
      <c r="F35" s="97">
        <v>288.21473058403461</v>
      </c>
      <c r="G35" s="48">
        <v>350.04241175610531</v>
      </c>
      <c r="H35" s="48">
        <v>350.04241175610531</v>
      </c>
      <c r="I35" s="106">
        <f t="shared" si="0"/>
        <v>0</v>
      </c>
      <c r="T35" s="2"/>
    </row>
    <row r="36" spans="1:20" ht="14.4" x14ac:dyDescent="0.3">
      <c r="A36" s="68" t="s">
        <v>25</v>
      </c>
      <c r="B36" s="69">
        <v>4.5625440000000017</v>
      </c>
      <c r="C36" s="69">
        <v>4.5625440000000017</v>
      </c>
      <c r="D36" s="69">
        <v>3.0979979605972225</v>
      </c>
      <c r="E36" s="69">
        <v>14.821175362916668</v>
      </c>
      <c r="F36" s="96">
        <v>16.168065000000002</v>
      </c>
      <c r="G36" s="48">
        <v>20.76806598125</v>
      </c>
      <c r="H36" s="48">
        <v>20.76806598125</v>
      </c>
      <c r="I36" s="106">
        <f t="shared" si="0"/>
        <v>0</v>
      </c>
      <c r="T36" s="3"/>
    </row>
    <row r="37" spans="1:20" ht="15" x14ac:dyDescent="0.3">
      <c r="A37" s="65" t="s">
        <v>26</v>
      </c>
      <c r="B37" s="66">
        <v>178.41911733409094</v>
      </c>
      <c r="C37" s="66">
        <v>204.1881187090909</v>
      </c>
      <c r="D37" s="66">
        <v>213.28686182467897</v>
      </c>
      <c r="E37" s="66">
        <v>232.22805247876849</v>
      </c>
      <c r="F37" s="95">
        <v>201.19920524346151</v>
      </c>
      <c r="G37" s="47">
        <v>283.49355489244425</v>
      </c>
      <c r="H37" s="47">
        <v>283.74185226602975</v>
      </c>
      <c r="I37" s="105">
        <f t="shared" si="0"/>
        <v>8.7584838985033109E-4</v>
      </c>
    </row>
    <row r="38" spans="1:20" ht="14.4" x14ac:dyDescent="0.3">
      <c r="A38" s="68" t="s">
        <v>27</v>
      </c>
      <c r="B38" s="69">
        <v>17.159356800000005</v>
      </c>
      <c r="C38" s="69">
        <v>17.159356800000005</v>
      </c>
      <c r="D38" s="69">
        <v>22.225818105496305</v>
      </c>
      <c r="E38" s="69">
        <v>45.639331580937345</v>
      </c>
      <c r="F38" s="96">
        <v>51.550102942121988</v>
      </c>
      <c r="G38" s="48">
        <v>70.975906417837848</v>
      </c>
      <c r="H38" s="48">
        <v>71.224203791423335</v>
      </c>
      <c r="I38" s="106">
        <f t="shared" si="0"/>
        <v>3.4983332530302835E-3</v>
      </c>
    </row>
    <row r="39" spans="1:20" ht="14.4" x14ac:dyDescent="0.3">
      <c r="A39" s="71" t="s">
        <v>28</v>
      </c>
      <c r="B39" s="72">
        <v>69.498975000000016</v>
      </c>
      <c r="C39" s="72">
        <v>81.682900000000004</v>
      </c>
      <c r="D39" s="72">
        <v>84.497805000000014</v>
      </c>
      <c r="E39" s="72">
        <v>83.541195000000002</v>
      </c>
      <c r="F39" s="97">
        <v>65.649150000000006</v>
      </c>
      <c r="G39" s="48">
        <v>94.961100000000016</v>
      </c>
      <c r="H39" s="48">
        <v>94.961100000000016</v>
      </c>
      <c r="I39" s="106">
        <f t="shared" si="0"/>
        <v>0</v>
      </c>
    </row>
    <row r="40" spans="1:20" ht="14.4" x14ac:dyDescent="0.3">
      <c r="A40" s="68" t="s">
        <v>29</v>
      </c>
      <c r="B40" s="69">
        <v>69.498975000000016</v>
      </c>
      <c r="C40" s="69">
        <v>81.682900000000004</v>
      </c>
      <c r="D40" s="69">
        <v>84.497805000000014</v>
      </c>
      <c r="E40" s="69">
        <v>83.541195000000002</v>
      </c>
      <c r="F40" s="96">
        <v>65.649150000000006</v>
      </c>
      <c r="G40" s="48">
        <v>94.961100000000016</v>
      </c>
      <c r="H40" s="48">
        <v>94.961100000000016</v>
      </c>
      <c r="I40" s="106">
        <f t="shared" si="0"/>
        <v>0</v>
      </c>
    </row>
    <row r="41" spans="1:20" ht="14.4" x14ac:dyDescent="0.3">
      <c r="A41" s="71" t="s">
        <v>30</v>
      </c>
      <c r="B41" s="72">
        <v>6.2507884090909096</v>
      </c>
      <c r="C41" s="72">
        <v>6.2507884090909096</v>
      </c>
      <c r="D41" s="72">
        <v>6.417299277515979</v>
      </c>
      <c r="E41" s="72">
        <v>5.7468110839422506</v>
      </c>
      <c r="F41" s="97">
        <v>6.3018167180061608</v>
      </c>
      <c r="G41" s="48">
        <v>6.8278433634952869</v>
      </c>
      <c r="H41" s="48">
        <v>6.8278433634952878</v>
      </c>
      <c r="I41" s="106">
        <f t="shared" si="0"/>
        <v>2.2204460492503131E-16</v>
      </c>
    </row>
    <row r="42" spans="1:20" ht="14.4" x14ac:dyDescent="0.3">
      <c r="A42" s="68" t="s">
        <v>31</v>
      </c>
      <c r="B42" s="69">
        <v>7.9923821249999989</v>
      </c>
      <c r="C42" s="69">
        <v>9.3935335000000002</v>
      </c>
      <c r="D42" s="69">
        <v>9.717247575</v>
      </c>
      <c r="E42" s="69">
        <v>9.6072374249999992</v>
      </c>
      <c r="F42" s="96">
        <v>7.5496522500000012</v>
      </c>
      <c r="G42" s="48">
        <v>10.920526500000001</v>
      </c>
      <c r="H42" s="48">
        <v>10.920526500000001</v>
      </c>
      <c r="I42" s="106">
        <f t="shared" si="0"/>
        <v>0</v>
      </c>
    </row>
    <row r="43" spans="1:20" ht="14.4" x14ac:dyDescent="0.3">
      <c r="A43" s="71" t="s">
        <v>32</v>
      </c>
      <c r="B43" s="72">
        <v>8.0186400000000031</v>
      </c>
      <c r="C43" s="72">
        <v>8.0186400000000031</v>
      </c>
      <c r="D43" s="72">
        <v>5.9308868666666674</v>
      </c>
      <c r="E43" s="72">
        <v>4.1522823888888896</v>
      </c>
      <c r="F43" s="97">
        <v>4.4993333333333325</v>
      </c>
      <c r="G43" s="48">
        <v>4.8470786111111108</v>
      </c>
      <c r="H43" s="48">
        <v>4.8470786111111108</v>
      </c>
      <c r="I43" s="106">
        <f t="shared" si="0"/>
        <v>0</v>
      </c>
    </row>
    <row r="44" spans="1:20" ht="15" x14ac:dyDescent="0.3">
      <c r="A44" s="74" t="s">
        <v>33</v>
      </c>
      <c r="B44" s="75">
        <v>293.88282523997844</v>
      </c>
      <c r="C44" s="75">
        <v>457.24386869623845</v>
      </c>
      <c r="D44" s="75">
        <v>460.01002090295799</v>
      </c>
      <c r="E44" s="75">
        <v>414.81749412973147</v>
      </c>
      <c r="F44" s="98">
        <v>338.88936715900195</v>
      </c>
      <c r="G44" s="47">
        <v>434.29675494615566</v>
      </c>
      <c r="H44" s="47">
        <v>431.59985053410111</v>
      </c>
      <c r="I44" s="105">
        <f t="shared" si="0"/>
        <v>-6.2098193950099745E-3</v>
      </c>
    </row>
    <row r="45" spans="1:20" ht="14.4" x14ac:dyDescent="0.3">
      <c r="A45" s="71" t="s">
        <v>34</v>
      </c>
      <c r="B45" s="72">
        <v>259.50895010567484</v>
      </c>
      <c r="C45" s="72">
        <v>408.64596402537245</v>
      </c>
      <c r="D45" s="72">
        <v>401.65249149135298</v>
      </c>
      <c r="E45" s="72">
        <v>366.31637729429957</v>
      </c>
      <c r="F45" s="97">
        <v>321.72514199142478</v>
      </c>
      <c r="G45" s="48">
        <v>411.01428988789155</v>
      </c>
      <c r="H45" s="48">
        <v>408.317385475837</v>
      </c>
      <c r="I45" s="106">
        <f t="shared" si="0"/>
        <v>-6.5615830845934253E-3</v>
      </c>
    </row>
    <row r="46" spans="1:20" ht="14.4" x14ac:dyDescent="0.3">
      <c r="A46" s="68" t="s">
        <v>35</v>
      </c>
      <c r="B46" s="69">
        <v>24.750817213578959</v>
      </c>
      <c r="C46" s="69">
        <v>38.97484675014136</v>
      </c>
      <c r="D46" s="69">
        <v>43.418452245667879</v>
      </c>
      <c r="E46" s="69">
        <v>30.434955096656143</v>
      </c>
      <c r="F46" s="96">
        <v>0</v>
      </c>
      <c r="G46" s="48">
        <v>0</v>
      </c>
      <c r="H46" s="48">
        <v>0</v>
      </c>
      <c r="I46" s="106" t="str">
        <f t="shared" si="0"/>
        <v>-</v>
      </c>
    </row>
    <row r="47" spans="1:20" ht="14.4" x14ac:dyDescent="0.3">
      <c r="A47" s="71" t="s">
        <v>36</v>
      </c>
      <c r="B47" s="72">
        <v>9.6230579207246354</v>
      </c>
      <c r="C47" s="72">
        <v>9.6230579207246354</v>
      </c>
      <c r="D47" s="72">
        <v>14.939077165937162</v>
      </c>
      <c r="E47" s="72">
        <v>18.066161738775726</v>
      </c>
      <c r="F47" s="97">
        <v>17.164225167577197</v>
      </c>
      <c r="G47" s="48">
        <v>23.282465058264091</v>
      </c>
      <c r="H47" s="48">
        <v>23.282465058264091</v>
      </c>
      <c r="I47" s="106">
        <f t="shared" si="0"/>
        <v>0</v>
      </c>
    </row>
    <row r="48" spans="1:20" ht="15" x14ac:dyDescent="0.3">
      <c r="A48" s="74" t="s">
        <v>37</v>
      </c>
      <c r="B48" s="75">
        <v>137.80000000000001</v>
      </c>
      <c r="C48" s="75">
        <v>137.80000000000001</v>
      </c>
      <c r="D48" s="75">
        <v>133.56</v>
      </c>
      <c r="E48" s="75">
        <v>98.206499999999991</v>
      </c>
      <c r="F48" s="98">
        <v>95.40000000000002</v>
      </c>
      <c r="G48" s="47">
        <v>137.80000000000001</v>
      </c>
      <c r="H48" s="47">
        <v>137.80000000000001</v>
      </c>
      <c r="I48" s="105">
        <f t="shared" si="0"/>
        <v>0</v>
      </c>
    </row>
    <row r="49" spans="1:9" ht="14.4" x14ac:dyDescent="0.3">
      <c r="A49" s="71" t="s">
        <v>62</v>
      </c>
      <c r="B49" s="72">
        <v>52.000000000000007</v>
      </c>
      <c r="C49" s="72">
        <v>52.000000000000007</v>
      </c>
      <c r="D49" s="72">
        <v>50.400000000000013</v>
      </c>
      <c r="E49" s="72">
        <v>47.76</v>
      </c>
      <c r="F49" s="97">
        <v>36.000000000000007</v>
      </c>
      <c r="G49" s="48">
        <v>52.000000000000007</v>
      </c>
      <c r="H49" s="48">
        <v>52.000000000000014</v>
      </c>
      <c r="I49" s="106">
        <f t="shared" si="0"/>
        <v>2.2204460492503131E-16</v>
      </c>
    </row>
    <row r="50" spans="1:9" ht="14.4" x14ac:dyDescent="0.3">
      <c r="A50" s="68" t="s">
        <v>38</v>
      </c>
      <c r="B50" s="69">
        <v>20.800000000000008</v>
      </c>
      <c r="C50" s="69">
        <v>20.800000000000008</v>
      </c>
      <c r="D50" s="69">
        <v>20.16</v>
      </c>
      <c r="E50" s="69">
        <v>19.104000000000006</v>
      </c>
      <c r="F50" s="96">
        <v>14.400000000000004</v>
      </c>
      <c r="G50" s="48">
        <v>20.8</v>
      </c>
      <c r="H50" s="48">
        <v>20.8</v>
      </c>
      <c r="I50" s="106">
        <f t="shared" si="0"/>
        <v>0</v>
      </c>
    </row>
    <row r="51" spans="1:9" ht="14.4" x14ac:dyDescent="0.3">
      <c r="A51" s="71" t="s">
        <v>39</v>
      </c>
      <c r="B51" s="72">
        <v>65.000000000000014</v>
      </c>
      <c r="C51" s="72">
        <v>65.000000000000014</v>
      </c>
      <c r="D51" s="72">
        <v>63</v>
      </c>
      <c r="E51" s="72">
        <v>31.34249999999999</v>
      </c>
      <c r="F51" s="97">
        <v>45.000000000000007</v>
      </c>
      <c r="G51" s="48">
        <v>65</v>
      </c>
      <c r="H51" s="48">
        <v>65</v>
      </c>
      <c r="I51" s="106">
        <f t="shared" si="0"/>
        <v>0</v>
      </c>
    </row>
    <row r="52" spans="1:9" ht="15" x14ac:dyDescent="0.3">
      <c r="A52" s="74" t="s">
        <v>40</v>
      </c>
      <c r="B52" s="75">
        <v>163.90352819880931</v>
      </c>
      <c r="C52" s="75">
        <v>191.69599603781217</v>
      </c>
      <c r="D52" s="75">
        <v>174.42144159940349</v>
      </c>
      <c r="E52" s="75">
        <v>155.01613459050091</v>
      </c>
      <c r="F52" s="98">
        <v>168.81488351332592</v>
      </c>
      <c r="G52" s="47">
        <v>172.12107006003902</v>
      </c>
      <c r="H52" s="47">
        <v>171.56780978158815</v>
      </c>
      <c r="I52" s="105">
        <f t="shared" si="0"/>
        <v>-3.2143669468117642E-3</v>
      </c>
    </row>
    <row r="53" spans="1:9" ht="14.4" x14ac:dyDescent="0.3">
      <c r="A53" s="71" t="s">
        <v>41</v>
      </c>
      <c r="B53" s="72">
        <v>86.633993302809316</v>
      </c>
      <c r="C53" s="72">
        <v>105.55223469581216</v>
      </c>
      <c r="D53" s="72">
        <v>95.208180447363702</v>
      </c>
      <c r="E53" s="72">
        <v>69.042493108935005</v>
      </c>
      <c r="F53" s="97">
        <v>70.721641447500033</v>
      </c>
      <c r="G53" s="48">
        <v>68.380531819949738</v>
      </c>
      <c r="H53" s="48">
        <v>67.734097572850061</v>
      </c>
      <c r="I53" s="106">
        <f t="shared" si="0"/>
        <v>-9.4534837605794175E-3</v>
      </c>
    </row>
    <row r="54" spans="1:9" ht="14.4" x14ac:dyDescent="0.3">
      <c r="A54" s="68" t="s">
        <v>42</v>
      </c>
      <c r="B54" s="69">
        <v>14.601598896000004</v>
      </c>
      <c r="C54" s="69">
        <v>22.225876542000005</v>
      </c>
      <c r="D54" s="69">
        <v>16.30847158537312</v>
      </c>
      <c r="E54" s="69">
        <v>22.521152070454772</v>
      </c>
      <c r="F54" s="96">
        <v>24.604042065825904</v>
      </c>
      <c r="G54" s="48">
        <v>26.508471295644817</v>
      </c>
      <c r="H54" s="48">
        <v>26.521294964293634</v>
      </c>
      <c r="I54" s="106">
        <f t="shared" si="0"/>
        <v>4.8375738101968935E-4</v>
      </c>
    </row>
    <row r="55" spans="1:9" ht="14.4" x14ac:dyDescent="0.3">
      <c r="A55" s="71" t="s">
        <v>43</v>
      </c>
      <c r="B55" s="72">
        <v>62.66793599999999</v>
      </c>
      <c r="C55" s="72">
        <v>63.917884799999996</v>
      </c>
      <c r="D55" s="72">
        <v>62.904789566666665</v>
      </c>
      <c r="E55" s="72">
        <v>63.452489411111138</v>
      </c>
      <c r="F55" s="97">
        <v>73.489199999999997</v>
      </c>
      <c r="G55" s="48">
        <v>77.232066944444441</v>
      </c>
      <c r="H55" s="48">
        <v>77.312417244444447</v>
      </c>
      <c r="I55" s="106">
        <f t="shared" si="0"/>
        <v>1.0403748491907283E-3</v>
      </c>
    </row>
    <row r="56" spans="1:9" s="4" customFormat="1" ht="15" x14ac:dyDescent="0.3">
      <c r="A56" s="74" t="s">
        <v>44</v>
      </c>
      <c r="B56" s="75">
        <v>290.75215839426477</v>
      </c>
      <c r="C56" s="75">
        <v>322.25660459760127</v>
      </c>
      <c r="D56" s="75">
        <v>174.94909489997789</v>
      </c>
      <c r="E56" s="75">
        <v>147.9566073508675</v>
      </c>
      <c r="F56" s="98">
        <v>132.92775437690904</v>
      </c>
      <c r="G56" s="47">
        <v>166.42968667671653</v>
      </c>
      <c r="H56" s="47">
        <v>163.97854945126343</v>
      </c>
      <c r="I56" s="105">
        <f t="shared" si="0"/>
        <v>-1.4727764465568782E-2</v>
      </c>
    </row>
    <row r="57" spans="1:9" ht="14.4" x14ac:dyDescent="0.3">
      <c r="A57" s="71" t="s">
        <v>45</v>
      </c>
      <c r="B57" s="72">
        <v>290.75215839426477</v>
      </c>
      <c r="C57" s="72">
        <v>322.25660459760127</v>
      </c>
      <c r="D57" s="72">
        <v>174.94909489997789</v>
      </c>
      <c r="E57" s="72">
        <v>147.9566073508675</v>
      </c>
      <c r="F57" s="97">
        <v>132.92775437690904</v>
      </c>
      <c r="G57" s="48">
        <v>166.42968667671653</v>
      </c>
      <c r="H57" s="48">
        <v>163.97854945126343</v>
      </c>
      <c r="I57" s="106">
        <f t="shared" si="0"/>
        <v>-1.4727764465568782E-2</v>
      </c>
    </row>
    <row r="58" spans="1:9" ht="15" x14ac:dyDescent="0.3">
      <c r="A58" s="62" t="s">
        <v>46</v>
      </c>
      <c r="B58" s="63">
        <v>4247.1985182802373</v>
      </c>
      <c r="C58" s="63">
        <v>6679.7870110784888</v>
      </c>
      <c r="D58" s="63">
        <v>5686.3196766855463</v>
      </c>
      <c r="E58" s="63">
        <v>4991.1660156697071</v>
      </c>
      <c r="F58" s="99">
        <v>4954.0663194874069</v>
      </c>
      <c r="G58" s="46">
        <v>6078.9588187825211</v>
      </c>
      <c r="H58" s="46">
        <v>6045.452952594158</v>
      </c>
      <c r="I58" s="104">
        <f t="shared" si="0"/>
        <v>-5.5117771294712625E-3</v>
      </c>
    </row>
    <row r="59" spans="1:9" ht="15" x14ac:dyDescent="0.3">
      <c r="A59" s="65" t="s">
        <v>47</v>
      </c>
      <c r="B59" s="66">
        <v>175.68015366734642</v>
      </c>
      <c r="C59" s="66">
        <v>175.68015366734642</v>
      </c>
      <c r="D59" s="66">
        <v>248.31465390150521</v>
      </c>
      <c r="E59" s="66">
        <v>348.81727393683514</v>
      </c>
      <c r="F59" s="95">
        <v>341.96829567973532</v>
      </c>
      <c r="G59" s="47">
        <v>450.8070290043745</v>
      </c>
      <c r="H59" s="47">
        <v>450.8070290043745</v>
      </c>
      <c r="I59" s="105">
        <f t="shared" si="0"/>
        <v>0</v>
      </c>
    </row>
    <row r="60" spans="1:9" ht="14.4" x14ac:dyDescent="0.3">
      <c r="A60" s="68" t="s">
        <v>48</v>
      </c>
      <c r="B60" s="69">
        <v>116.32350365249992</v>
      </c>
      <c r="C60" s="69">
        <v>116.32350365249992</v>
      </c>
      <c r="D60" s="69">
        <v>184.43369183721919</v>
      </c>
      <c r="E60" s="69">
        <v>215.23985536246005</v>
      </c>
      <c r="F60" s="96">
        <v>200.28871538482483</v>
      </c>
      <c r="G60" s="48">
        <v>277.88647835223315</v>
      </c>
      <c r="H60" s="48">
        <v>277.88647835223315</v>
      </c>
      <c r="I60" s="106">
        <f t="shared" si="0"/>
        <v>0</v>
      </c>
    </row>
    <row r="61" spans="1:9" ht="14.4" x14ac:dyDescent="0.3">
      <c r="A61" s="71" t="s">
        <v>49</v>
      </c>
      <c r="B61" s="72">
        <v>30.839418014846505</v>
      </c>
      <c r="C61" s="72">
        <v>30.839418014846505</v>
      </c>
      <c r="D61" s="72">
        <v>39.040705821897127</v>
      </c>
      <c r="E61" s="72">
        <v>61.048315789375131</v>
      </c>
      <c r="F61" s="97">
        <v>62.559320294910464</v>
      </c>
      <c r="G61" s="48">
        <v>74.194280060474711</v>
      </c>
      <c r="H61" s="48">
        <v>74.194280060474711</v>
      </c>
      <c r="I61" s="106">
        <f t="shared" si="0"/>
        <v>0</v>
      </c>
    </row>
    <row r="62" spans="1:9" ht="14.4" x14ac:dyDescent="0.3">
      <c r="A62" s="68" t="s">
        <v>50</v>
      </c>
      <c r="B62" s="69">
        <v>2.0885759999999998</v>
      </c>
      <c r="C62" s="69">
        <v>2.0885759999999998</v>
      </c>
      <c r="D62" s="69">
        <v>1.5102134666666667</v>
      </c>
      <c r="E62" s="69">
        <v>1.510712444444444</v>
      </c>
      <c r="F62" s="96">
        <v>1.6479999999999999</v>
      </c>
      <c r="G62" s="48">
        <v>1.7855622222222223</v>
      </c>
      <c r="H62" s="48">
        <v>1.7855622222222223</v>
      </c>
      <c r="I62" s="106">
        <f t="shared" si="0"/>
        <v>0</v>
      </c>
    </row>
    <row r="63" spans="1:9" ht="14.4" x14ac:dyDescent="0.3">
      <c r="A63" s="71" t="s">
        <v>51</v>
      </c>
      <c r="B63" s="72">
        <v>6.180480000000002</v>
      </c>
      <c r="C63" s="72">
        <v>6.180480000000002</v>
      </c>
      <c r="D63" s="72">
        <v>10.938050933333331</v>
      </c>
      <c r="E63" s="72">
        <v>11.73368888888889</v>
      </c>
      <c r="F63" s="97">
        <v>12.799999999999999</v>
      </c>
      <c r="G63" s="48">
        <v>13.868444444444446</v>
      </c>
      <c r="H63" s="48">
        <v>13.868444444444446</v>
      </c>
      <c r="I63" s="106">
        <f t="shared" si="0"/>
        <v>0</v>
      </c>
    </row>
    <row r="64" spans="1:9" ht="14.4" x14ac:dyDescent="0.3">
      <c r="A64" s="68" t="s">
        <v>52</v>
      </c>
      <c r="B64" s="69">
        <v>20.248176000000001</v>
      </c>
      <c r="C64" s="69">
        <v>20.248176000000001</v>
      </c>
      <c r="D64" s="69">
        <v>12.39199184238889</v>
      </c>
      <c r="E64" s="69">
        <v>59.28470145166667</v>
      </c>
      <c r="F64" s="96">
        <v>64.672260000000009</v>
      </c>
      <c r="G64" s="48">
        <v>83.072263925000001</v>
      </c>
      <c r="H64" s="48">
        <v>83.072263925000001</v>
      </c>
      <c r="I64" s="106">
        <f t="shared" si="0"/>
        <v>0</v>
      </c>
    </row>
    <row r="65" spans="1:9" ht="15" x14ac:dyDescent="0.3">
      <c r="A65" s="65" t="s">
        <v>53</v>
      </c>
      <c r="B65" s="66">
        <v>38.361600000000003</v>
      </c>
      <c r="C65" s="66">
        <v>38.361600000000003</v>
      </c>
      <c r="D65" s="66">
        <v>32.990099999999998</v>
      </c>
      <c r="E65" s="66">
        <v>55.001666666666665</v>
      </c>
      <c r="F65" s="95">
        <v>49.039533040921413</v>
      </c>
      <c r="G65" s="47">
        <v>60.90885650986548</v>
      </c>
      <c r="H65" s="47">
        <v>60.619786050584594</v>
      </c>
      <c r="I65" s="105">
        <f t="shared" si="0"/>
        <v>-4.7459511776265506E-3</v>
      </c>
    </row>
    <row r="66" spans="1:9" ht="14.4" x14ac:dyDescent="0.3">
      <c r="A66" s="68" t="s">
        <v>54</v>
      </c>
      <c r="B66" s="69">
        <v>38.361600000000003</v>
      </c>
      <c r="C66" s="69">
        <v>38.361600000000003</v>
      </c>
      <c r="D66" s="69">
        <v>32.990099999999998</v>
      </c>
      <c r="E66" s="69">
        <v>55.001666666666665</v>
      </c>
      <c r="F66" s="96">
        <v>49.039533040921413</v>
      </c>
      <c r="G66" s="48">
        <v>60.90885650986548</v>
      </c>
      <c r="H66" s="48">
        <v>60.619786050584594</v>
      </c>
      <c r="I66" s="106">
        <f t="shared" si="0"/>
        <v>-4.7459511776265506E-3</v>
      </c>
    </row>
    <row r="67" spans="1:9" ht="15" x14ac:dyDescent="0.3">
      <c r="A67" s="78" t="s">
        <v>55</v>
      </c>
      <c r="B67" s="79">
        <v>4461.240271947584</v>
      </c>
      <c r="C67" s="79">
        <v>6893.8287647458355</v>
      </c>
      <c r="D67" s="79">
        <v>5967.6244305870514</v>
      </c>
      <c r="E67" s="79">
        <v>5394.9849562732088</v>
      </c>
      <c r="F67" s="100">
        <v>5345.0741482080639</v>
      </c>
      <c r="G67" s="46">
        <v>6590.6747042967609</v>
      </c>
      <c r="H67" s="46">
        <v>6556.8797676491167</v>
      </c>
      <c r="I67" s="104">
        <f t="shared" si="0"/>
        <v>-5.1276899807559673E-3</v>
      </c>
    </row>
    <row r="68" spans="1:9" ht="15" x14ac:dyDescent="0.3">
      <c r="A68" s="74" t="s">
        <v>63</v>
      </c>
      <c r="B68" s="75">
        <v>825.68653147035138</v>
      </c>
      <c r="C68" s="75">
        <v>990.46624881760852</v>
      </c>
      <c r="D68" s="75">
        <v>1233.6576559390955</v>
      </c>
      <c r="E68" s="75">
        <v>1236.4999137934344</v>
      </c>
      <c r="F68" s="98">
        <v>1298.7432850584125</v>
      </c>
      <c r="G68" s="47">
        <v>1735.5807222734541</v>
      </c>
      <c r="H68" s="47">
        <v>1721.9722724396936</v>
      </c>
      <c r="I68" s="105">
        <f t="shared" si="0"/>
        <v>-7.8408625188776115E-3</v>
      </c>
    </row>
    <row r="69" spans="1:9" ht="14.4" x14ac:dyDescent="0.3">
      <c r="A69" s="71" t="s">
        <v>56</v>
      </c>
      <c r="B69" s="72">
        <v>678.42170291995126</v>
      </c>
      <c r="C69" s="72">
        <v>751.93207739440288</v>
      </c>
      <c r="D69" s="72">
        <v>855.67323964043362</v>
      </c>
      <c r="E69" s="72">
        <v>722.24763417220811</v>
      </c>
      <c r="F69" s="97">
        <v>664.63877188454524</v>
      </c>
      <c r="G69" s="48">
        <v>832.14843338358276</v>
      </c>
      <c r="H69" s="48">
        <v>819.89274725631731</v>
      </c>
      <c r="I69" s="106">
        <f t="shared" si="0"/>
        <v>-1.4727764465568782E-2</v>
      </c>
    </row>
    <row r="70" spans="1:9" ht="14.4" x14ac:dyDescent="0.3">
      <c r="A70" s="68" t="s">
        <v>57</v>
      </c>
      <c r="B70" s="69">
        <v>40.738400236271453</v>
      </c>
      <c r="C70" s="69">
        <v>90.118444475135846</v>
      </c>
      <c r="D70" s="69">
        <v>119.01709142246061</v>
      </c>
      <c r="E70" s="69">
        <v>121.55308276248103</v>
      </c>
      <c r="F70" s="96">
        <v>149.11412577813206</v>
      </c>
      <c r="G70" s="48">
        <v>206.16422729924801</v>
      </c>
      <c r="H70" s="48">
        <v>204.811463592753</v>
      </c>
      <c r="I70" s="106">
        <f t="shared" si="0"/>
        <v>-6.5615830845934253E-3</v>
      </c>
    </row>
    <row r="71" spans="1:9" ht="14.4" x14ac:dyDescent="0.3">
      <c r="A71" s="71" t="s">
        <v>58</v>
      </c>
      <c r="B71" s="72">
        <v>85.299676314128675</v>
      </c>
      <c r="C71" s="72">
        <v>118.84199694806995</v>
      </c>
      <c r="D71" s="72">
        <v>217.37307059500858</v>
      </c>
      <c r="E71" s="72">
        <v>228.21971410247204</v>
      </c>
      <c r="F71" s="97">
        <v>268.07150989573535</v>
      </c>
      <c r="G71" s="48">
        <v>387.37228020520678</v>
      </c>
      <c r="H71" s="48">
        <v>387.37228020520678</v>
      </c>
      <c r="I71" s="106">
        <f t="shared" si="0"/>
        <v>0</v>
      </c>
    </row>
    <row r="72" spans="1:9" ht="14.4" x14ac:dyDescent="0.3">
      <c r="A72" s="68" t="s">
        <v>59</v>
      </c>
      <c r="B72" s="69">
        <v>21.226752000000005</v>
      </c>
      <c r="C72" s="69">
        <v>29.573730000000001</v>
      </c>
      <c r="D72" s="69">
        <v>41.594254281192725</v>
      </c>
      <c r="E72" s="69">
        <v>164.47948275627314</v>
      </c>
      <c r="F72" s="96">
        <v>216.91887750000001</v>
      </c>
      <c r="G72" s="49">
        <v>309.89578138541657</v>
      </c>
      <c r="H72" s="49">
        <v>309.89578138541657</v>
      </c>
      <c r="I72" s="107">
        <f t="shared" si="0"/>
        <v>0</v>
      </c>
    </row>
    <row r="73" spans="1:9" ht="15" x14ac:dyDescent="0.3">
      <c r="A73" s="81" t="s">
        <v>60</v>
      </c>
      <c r="B73" s="82">
        <v>5286.9268034179349</v>
      </c>
      <c r="C73" s="82">
        <v>7884.2950135634437</v>
      </c>
      <c r="D73" s="82">
        <v>7201.2820865261474</v>
      </c>
      <c r="E73" s="82">
        <v>6631.4848700666435</v>
      </c>
      <c r="F73" s="100">
        <v>6643.8174332664767</v>
      </c>
      <c r="G73" s="46">
        <v>8326.2554265702147</v>
      </c>
      <c r="H73" s="46">
        <v>8278.8520400888101</v>
      </c>
      <c r="I73" s="104">
        <f t="shared" si="0"/>
        <v>-5.6932419260323774E-3</v>
      </c>
    </row>
    <row r="74" spans="1:9" ht="14.4" x14ac:dyDescent="0.3">
      <c r="A74" s="84"/>
      <c r="B74" s="84"/>
      <c r="C74" s="84"/>
      <c r="D74" s="84"/>
      <c r="E74" s="84"/>
      <c r="F74" s="84"/>
      <c r="G74" s="7"/>
      <c r="H74" s="7"/>
      <c r="I74" s="7"/>
    </row>
    <row r="75" spans="1:9" ht="14.4" x14ac:dyDescent="0.3">
      <c r="A75" s="85" t="s">
        <v>68</v>
      </c>
      <c r="B75" s="86">
        <v>65</v>
      </c>
      <c r="C75" s="86">
        <v>65</v>
      </c>
      <c r="D75" s="86">
        <v>63</v>
      </c>
      <c r="E75" s="86">
        <v>63</v>
      </c>
      <c r="F75" s="86">
        <v>45</v>
      </c>
      <c r="G75" s="108">
        <v>45</v>
      </c>
      <c r="H75" s="108">
        <v>45</v>
      </c>
      <c r="I75" s="102">
        <f t="shared" ref="I75:I76" si="1">IFERROR(H75/G75-1,"-")</f>
        <v>0</v>
      </c>
    </row>
    <row r="76" spans="1:9" ht="14.4" x14ac:dyDescent="0.3">
      <c r="A76" s="87" t="s">
        <v>67</v>
      </c>
      <c r="B76" s="88">
        <v>5.1439616234071543</v>
      </c>
      <c r="C76" s="88">
        <v>5.2311851021427973</v>
      </c>
      <c r="D76" s="88">
        <v>5.0735459594539503</v>
      </c>
      <c r="E76" s="88">
        <v>5.0735459594539503</v>
      </c>
      <c r="F76" s="88">
        <v>5.6879801538138484</v>
      </c>
      <c r="G76" s="109">
        <v>5.3611000000000004</v>
      </c>
      <c r="H76" s="109">
        <v>5.3051000000000004</v>
      </c>
      <c r="I76" s="103">
        <f t="shared" si="1"/>
        <v>-1.0445617503870519E-2</v>
      </c>
    </row>
    <row r="77" spans="1:9" ht="13.95" customHeight="1" x14ac:dyDescent="0.3">
      <c r="A77" s="89" t="s">
        <v>71</v>
      </c>
      <c r="B77" s="89"/>
      <c r="C77" s="89"/>
      <c r="D77" s="90"/>
      <c r="E77" s="90"/>
      <c r="F77" s="90"/>
      <c r="G77" s="90"/>
      <c r="H77" s="90"/>
      <c r="I77" s="101"/>
    </row>
    <row r="78" spans="1:9" ht="13.95" customHeight="1" x14ac:dyDescent="0.3">
      <c r="A78" s="89" t="s">
        <v>66</v>
      </c>
      <c r="B78" s="89"/>
      <c r="C78" s="89"/>
      <c r="D78" s="90"/>
      <c r="E78" s="90"/>
      <c r="F78" s="90"/>
      <c r="G78" s="90"/>
      <c r="H78" s="110"/>
      <c r="I78" s="101"/>
    </row>
    <row r="79" spans="1:9" ht="14.4" x14ac:dyDescent="0.3">
      <c r="A79" s="93" t="s">
        <v>143</v>
      </c>
      <c r="B79" s="93"/>
      <c r="C79" s="93"/>
      <c r="D79" s="93"/>
      <c r="E79" s="93"/>
      <c r="F79" s="93"/>
      <c r="G79" s="93"/>
      <c r="H79" s="93"/>
      <c r="I79" s="93"/>
    </row>
    <row r="80" spans="1:9" ht="29.25" customHeight="1" x14ac:dyDescent="0.3">
      <c r="A80" s="126" t="s">
        <v>138</v>
      </c>
      <c r="B80" s="126"/>
      <c r="C80" s="126"/>
      <c r="D80" s="126"/>
      <c r="E80" s="126"/>
      <c r="F80" s="126"/>
      <c r="G80" s="126"/>
      <c r="H80" s="126"/>
      <c r="I80" s="126"/>
    </row>
    <row r="81" spans="1:9" ht="14.4" x14ac:dyDescent="0.3">
      <c r="A81" s="93" t="s">
        <v>139</v>
      </c>
      <c r="B81" s="93"/>
      <c r="C81" s="93"/>
      <c r="D81" s="93"/>
      <c r="E81" s="93"/>
      <c r="F81" s="93"/>
      <c r="G81" s="93"/>
      <c r="H81" s="93"/>
      <c r="I81" s="93"/>
    </row>
    <row r="82" spans="1:9" ht="12.75" hidden="1" customHeight="1" x14ac:dyDescent="0.3">
      <c r="A82" s="93"/>
      <c r="B82" s="93"/>
      <c r="C82" s="93"/>
      <c r="D82" s="93"/>
      <c r="E82" s="93"/>
      <c r="F82" s="93"/>
      <c r="G82" s="93"/>
      <c r="H82" s="93"/>
      <c r="I82" s="93"/>
    </row>
    <row r="83" spans="1:9" ht="31.95" hidden="1" customHeight="1" x14ac:dyDescent="0.3">
      <c r="A83" s="124"/>
      <c r="B83" s="124"/>
      <c r="C83" s="124"/>
      <c r="D83" s="124"/>
      <c r="E83" s="124"/>
      <c r="F83" s="124"/>
      <c r="G83" s="124"/>
      <c r="H83" s="93"/>
      <c r="I83" s="93"/>
    </row>
    <row r="84" spans="1:9" ht="37.950000000000003" hidden="1" customHeight="1" x14ac:dyDescent="0.3">
      <c r="A84" s="125"/>
      <c r="B84" s="125"/>
      <c r="C84" s="125"/>
      <c r="D84" s="125"/>
      <c r="E84" s="125"/>
      <c r="F84" s="125"/>
      <c r="G84" s="125"/>
    </row>
  </sheetData>
  <mergeCells count="6">
    <mergeCell ref="A2:I2"/>
    <mergeCell ref="A3:I3"/>
    <mergeCell ref="A4:I4"/>
    <mergeCell ref="A80:I80"/>
    <mergeCell ref="A84:G84"/>
    <mergeCell ref="A83:G8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Indice</vt:lpstr>
      <vt:lpstr>Soja_GMO_MT</vt:lpstr>
      <vt:lpstr>Soja_Safra_GMO_bra</vt:lpstr>
      <vt:lpstr>Soja_Safra_GMO_port</vt:lpstr>
      <vt:lpstr>Soja_Safra_GMO_tan</vt:lpstr>
      <vt:lpstr>Soja_Safra_GMO_dia</vt:lpstr>
      <vt:lpstr>Soja_Safra_GMO_sor</vt:lpstr>
      <vt:lpstr>Soja_Safra_GMO_sin</vt:lpstr>
      <vt:lpstr>Soja_Safra_GMO_can</vt:lpstr>
      <vt:lpstr>Soja_Safra_GMO_que</vt:lpstr>
      <vt:lpstr>Soja_Safra_GMO_pri</vt:lpstr>
      <vt:lpstr>Soja_Safra_GMO_afl</vt:lpstr>
      <vt:lpstr>Soja_Safra_GMO_mar</vt:lpstr>
      <vt:lpstr>Soja_Safra_GMO_mat</vt:lpstr>
      <vt:lpstr>Soja_Safra_GMO_sap</vt:lpstr>
      <vt:lpstr>Soja_Safra_GMO_cnp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</dc:creator>
  <cp:lastModifiedBy>AgroColheita Licença 03</cp:lastModifiedBy>
  <dcterms:created xsi:type="dcterms:W3CDTF">2018-06-08T19:10:42Z</dcterms:created>
  <dcterms:modified xsi:type="dcterms:W3CDTF">2026-04-01T22:21:29Z</dcterms:modified>
</cp:coreProperties>
</file>